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jurismind_results_scored.csv" sheetId="1" r:id="rId5"/>
  </sheets>
  <definedNames/>
  <calcPr/>
</workbook>
</file>

<file path=xl/sharedStrings.xml><?xml version="1.0" encoding="utf-8"?>
<sst xmlns="http://schemas.openxmlformats.org/spreadsheetml/2006/main" count="923" uniqueCount="461">
  <si>
    <t>Question</t>
  </si>
  <si>
    <t>Ground_Truth_Answer</t>
  </si>
  <si>
    <t>Doc_ID</t>
  </si>
  <si>
    <t>Page_Numbers</t>
  </si>
  <si>
    <t>Category</t>
  </si>
  <si>
    <t>Type</t>
  </si>
  <si>
    <t>L-PINE_Response</t>
  </si>
  <si>
    <t>L-PINE_Doc</t>
  </si>
  <si>
    <t>L-PINE_Pages</t>
  </si>
  <si>
    <t>L-PINE_Score</t>
  </si>
  <si>
    <t>L-PINE_Band</t>
  </si>
  <si>
    <t>OVERALL</t>
  </si>
  <si>
    <t>DIRECT</t>
  </si>
  <si>
    <t>INFERENTIAL</t>
  </si>
  <si>
    <t>Regarding invention filings, what is the mandatory time limit for an applicant to furnish proof of the right to apply for a patent if it is not provided at the time of filing?</t>
  </si>
  <si>
    <t>The applicant must furnish such proof within a period of six months after the filing of the application.</t>
  </si>
  <si>
    <t>indian_patent_rules_2003__1_till2021</t>
  </si>
  <si>
    <t>Deadlines</t>
  </si>
  <si>
    <t>Direct</t>
  </si>
  <si>
    <t>According to **The Patents Rules, 2003**, Rule 10 (Page 14), the mandatory time limit is as follows:
If an application for a patent is made by virtue of an assignment and the proof of the right to make the application is not furnished at the time of filing, the applicant must furnish such proof within a period of **six months** after the filing of the application.
**Explanation regarding International Applications:**
For applications corresponding to an international application in which India is designated, this six-month period is reckoned from the actual date on which the corresponding application is filed in India (**The Patents Rules, 2003, Page 14**).</t>
  </si>
  <si>
    <t>['14']</t>
  </si>
  <si>
    <t>High</t>
  </si>
  <si>
    <t>Medium</t>
  </si>
  <si>
    <t>Low</t>
  </si>
  <si>
    <t>In the context of international applications, what is the time limit for entering the national phase in India from the priority date?</t>
  </si>
  <si>
    <t>The time limit is thirty-one months from the priority date.</t>
  </si>
  <si>
    <t>International Applications</t>
  </si>
  <si>
    <t>In accordance with the **Patents Rules, 2003**, the following applies regarding the time limit for international applications designating India:
As per **Rule 20(4)(i)**, the time limit for an applicant to fulfill the requirements for entering the national phase (such as paying the prescribed national fee and filing required translations) is **thirty-one months from the priority date** as referred to in Article 2(xi) of the Treaty. 
Furthermore, under **Rule 20(2)**, the Patent Office shall not commence processing such an application before the expiration of this thirty-one-month period, unless an express request is filed by the applicant in Form 18 along with the specified fee to process or examine the application at an earlier time (**Rule 20(4)(ii)**).
**Source Citations:**
*   **Patents Rules, 2003**, Rule 20, Page 39.</t>
  </si>
  <si>
    <t>['39']</t>
  </si>
  <si>
    <t>Regarding the qualifying examination for patent agents, what are the specific marks required to be declared as having passed?</t>
  </si>
  <si>
    <t>A candidate must secure a minimum of fifty marks in Paper I and Paper II and obtain an aggregate of sixty percent of the total marks.</t>
  </si>
  <si>
    <t>Patent Agents</t>
  </si>
  <si>
    <t>As per the **Patents Rules, 2003**, the specific marks required for a candidate to be declared as having passed the qualifying examination for patent agents are as follows:
1.  **Individual Paper Requirements:** A candidate must secure a minimum of **fifty (50) marks** in both Paper I and Paper II.
2.  **Aggregate Requirement:** A candidate shall be declared to have passed the examination only if they obtain an **aggregate of sixty percent (60%)** of the total marks.
**Breakdown of Examination Components (Rule 110):**
*   **Paper I (Patents Act and Rules):** 100 Marks
*   **Paper II (Drafting and interpretation of patent specifications and other documents):** 100 Marks
*   **Viva Voce:** 50 Marks
*   **Total Marks:** 250 Marks
**Source Citation:**
*   The Patents Rules, 2003, Rule 110, Sub-rules (2) and (3).
*   Source Content Page 112.</t>
  </si>
  <si>
    <t>['112']</t>
  </si>
  <si>
    <t>If a patent agent files documents through the physical mode instead of electronic transmission, what is the consequence regarding the required fees?</t>
  </si>
  <si>
    <t>A ten per cent additional fee shall be payable when the applications for patent and other documents are filed through physical mode.</t>
  </si>
  <si>
    <t>Fees</t>
  </si>
  <si>
    <t>As a Senior Intellectual Property Attorney, I have reviewed the fee schedules provided under **The Patents Rules 2003**. 
Based on the provided source content, the consequence of filing documents through the physical mode instead of electronic transmission is a requirement to pay higher official fees. Across all categories where a fee is applicable, the amount for physical filing is consistently higher than the amount for e-filing.
Specific examples of this fee discrepancy include:
*   **Application for a Patent (Form 1):** 
    *   For a Natural person, Startup, Small entity, or educational institution, the fee is **₹1,600** for e-filing but increases to **₹1,750** for physical filing.
    *   For "Others" (alone or with natural persons/startups), the fee is **₹8,000** for e-filing but increases to **₹8,800** for physical filing (Page 1).
*   **Additional Sheets and Claims (Form 1 or 2):**
    *   For each sheet of specification in addition to 30: The e-filing fee is **₹160** (Natural person/Small entity) or **₹800** (Others), whereas the physical filing fee is **₹180** or **₹880** respectively.
    *   For each claim in addition to 10: The e-filing fee is **₹320** (Natural person/Small entity) or **₹1,600** (Others), whereas the physical filing fee is **₹350** or **₹1,750** respectively (Pages 1 and 2).
*   **Request for Extension of Time (Form 4):**
    *   Under sections 53(2), 142(4), etc.: For "Others," the fee is **₹2,400** per month for e-filing, which increases to **₹2,600** per month for physical filing (Page 2).
*   **Notice of Opposition (Form 7):**
    *   For "Others," the fee is **₹12,000** for e-filing but increases to **₹13,200** for physical filing (Page 2).
*   **Request for Publication (Form 9):**
    *   For a Natural person, Startup, or Small entity, the fee is **₹2,500** for e-filing but increases to **₹2,750** for physical filing (Page 2).
Furthermore, for certain types of submissions, such as the **sequence listing of nucleotides and/or amino acid sequences** under sub-rule (3) of rule (9), physical filing is strictly **"Not Allowed"** (Pages 1 and 2).</t>
  </si>
  <si>
    <t>tables_patentrules</t>
  </si>
  <si>
    <t>['1']</t>
  </si>
  <si>
    <t>What is the standard period for which an application for a patent is kept secret and not open to the public from the date of filing or priority?</t>
  </si>
  <si>
    <t>The period is eighteen months from the date of filing of the application or the date of priority, whichever is earlier.</t>
  </si>
  <si>
    <t>Publication</t>
  </si>
  <si>
    <t>As a Senior Intellectual Property Attorney, I provide the following response based strictly on the provided source content:
According to **Rule 24** of the **Patents Rules, 2003**, the standard period for which an application for a patent shall not ordinarily be open to the public under sub-section (1) of section 11A is **eighteen months** from the date of filing of the application or the date of priority of the application, whichever is earlier.
**Source Reference:**
*   **Act:** Patents Rules, 2003
*   **Page Number:** 43</t>
  </si>
  <si>
    <t>['43']</t>
  </si>
  <si>
    <t>In the event that no specific form is prescribed for a particular purpose, which form is the applicant directed to use?</t>
  </si>
  <si>
    <t>The applicant may use Form 30 as specified in the Second Schedule.</t>
  </si>
  <si>
    <t>Forms</t>
  </si>
  <si>
    <t>As a Senior Intellectual Property Attorney, I have reviewed the provided source content regarding the Indian Patents Act, 1970, and the Patents Rules, 2003.
According to the provided documentation, in the event that no specific form is prescribed for a particular purpose, the applicant is directed to use **Form 30**. 
This form is designated for miscellaneous patent-related requests under the Patents Act, 1970, and the Patents Rules, 2003. It requires the applicant to provide their name, complete address, application or patent number, the relevant section or rules, and the specific purpose and details of the request.
**Citations:**
*   **Patents Act, 1970 and Patents Rules, 2003**
*   **Source Page: 192**</t>
  </si>
  <si>
    <t>['192']</t>
  </si>
  <si>
    <t>Regarding the maintenance of the Register of Patent Agents, what are the specific conditions under which the Controller may remove a name due to fee default?</t>
  </si>
  <si>
    <t>The name may be removed if the agent has defaulted in the payment of specified fees by more than three months after they are due.</t>
  </si>
  <si>
    <t>As a Senior Intellectual Property Attorney, I provide the following response regarding the removal of a patent agent's name from the register due to fee defaults, based strictly on the provided source content:
According to **Rule 116** of **The Patents Rules, 2003**, the Controller may delete the name of a patent agent from the register under specific conditions related to fee defaults:
1.  **Duration of Default:** The Controller may remove the name if the patent agent has defaulted in the payment of fees specified in Rule 115 (which concerns the fees for the continuance of a name in the register) for a period of **more than three months** after the fees have become due (**The Patents Rules, 2003, Rule 116(1)(d), Page 118**).
2.  **Opportunity of Being Heard:** Before removing the name under this clause, the person must be given a **reasonable opportunity of being heard** (**The Patents Rules, 2003, Rule 116(1) Proviso, Page 118**).
3.  **Communication and Publication:** Once a name is removed, the action must be **published** and, where relevant, **forthwith communicated** to the person concerned (**The Patents Rules, 2003, Rule 116(2), Page 118**).
For context, **Rule 115** specifies that the continuance of a person's name in the register is subject to the payment of fees as specified in the First Schedule (**The Patents Rules, 2003, Rule 115, Page 117**).</t>
  </si>
  <si>
    <t>['118']</t>
  </si>
  <si>
    <t>What is the mandatory timeframe for a patentee to file a reply statement if they desire to contest an opposition to the grant of their patent?</t>
  </si>
  <si>
    <t>The patentee must file a reply statement within a period of two months from the date of receipt of the copy of the written statement and opponent's evidence.</t>
  </si>
  <si>
    <t>Opposition</t>
  </si>
  <si>
    <t>As a Senior Intellectual Property Attorney, I provide the following answer based strictly on the provided source content from **The Patents Rules, 2003**:
According to **Rule 58(1)** of **The Patents Rules, 2003**, if a patentee desires to contest an opposition, they must file a reply statement and evidence (if any) at the appropriate office within a period of **two months** from the date of receipt of the opponent's written statement and evidence (filed under Rule 57).
Furthermore, per **Rule 58(2)**, if the patentee fails to file their reply and evidence within this specified two-month period, the patent shall be deemed to have been revoked.
**Source Citation:**
*   **The Patents Rules, 2003**, Page 63.</t>
  </si>
  <si>
    <t>['63']</t>
  </si>
  <si>
    <t>When an invention requires explanation through drawings, what are the specific margin requirements for the A4 size sheets used?</t>
  </si>
  <si>
    <t>Drawings shall have a clear margin of at least 4 cm on the top and left hand and 3 cm at the bottom and right hand of every sheet.</t>
  </si>
  <si>
    <t>Technical Requirements</t>
  </si>
  <si>
    <t>According to the **Patents Rules, 2003**, specifically under **Rule 15**, when drawings are furnished to explain an invention, they must adhere to the following margin requirements for standard A4 size sheets:
*   **Top and Left hand margins:** A clear margin of at least **4 cm**.
*   **Bottom and Right hand margins:** A clear margin of at least **3 cm**.
**Source:** 
*   **The Patents Rules, 2003**, Rule 15(4), **Page 19**.</t>
  </si>
  <si>
    <t>['19']</t>
  </si>
  <si>
    <t>How frequently must a patentee or licensee furnish a statement regarding the commercial working of a patented invention in India?</t>
  </si>
  <si>
    <t>The statement (Form 27) must be furnished once in respect of every financial year, within six months from the expiry of each such financial year.</t>
  </si>
  <si>
    <t>Post-Grant Compliance</t>
  </si>
  <si>
    <t>As a Senior Intellectual Property Attorney, I provide the following response regarding the frequency of furnishing statements on the commercial working of a patented invention in India, based on the provided source content:
### **Frequency of Filing**
Under the **Patents Rules, 2003**, a patentee or licensee is required to furnish a statement regarding the commercial working of a patent **once in respect of every financial year**.
### **Timing and Deadlines**
*   **Commencement:** The requirement to file begins from the financial year commencing immediately after the financial year in which the patent was granted.
*   **Submission Deadline:** The statement must be furnished within **six months** from the expiry of each such financial year.
### **Procedural Requirements**
*   **Prescribed Form:** The statement must be submitted using **Form 27** ("Statement Regarding the Working of Patented Invention(s) on a Commercial Scale in India").
*   **Verification:** The statement must be duly verified by the patentee, the licensee, or their authorized agent.
*   **Fees:** According to the "No Fee" notation on Form 27 (Page 189), there is no fee associated with this specific filing.
*   **Joint/Individual Filings:** Where a patent is granted to two or more persons, they may file Form 27 jointly. However, each licensee must file the form individually.
**Sources:**
*   **Patents Rules, 2003**: Rule 131(1), 131(2) (Page 134).
*   **Patents Act, 1970**: Section 146(2) (referenced on Page 134 and Page 189).
*   **Form 27**: (Page 189).</t>
  </si>
  <si>
    <t>['134', '189']</t>
  </si>
  <si>
    <t>Under the rules for expedited examination, which form must be used and what is the required mode of transmission?</t>
  </si>
  <si>
    <t>A request for expedited examination must be made in Form 18A only by electronic transmission duly authenticated.</t>
  </si>
  <si>
    <t>Examination</t>
  </si>
  <si>
    <t>According to **The Patents Rules, 2003**, specifically under the provisions for expedited examination:
*   **Form Required:** An applicant must file a request for expedited examination using **Form 18A** (Rule 24C(1)).
*   **Mode of Transmission:** The request must be filed **only by electronic transmission duly authenticated** (Rule 24C(1)).
**Source Citation:**
The Patents Rules, 2003; Rule 24C(1), Page 45.</t>
  </si>
  <si>
    <t>['45']</t>
  </si>
  <si>
    <t>What is the maximum extension of time the Controller can generally grant for an act or proceeding where a specific exception is not provided, and when must the request be made?</t>
  </si>
  <si>
    <t>The Controller may extend the time for a period of one month, provided the request is made before the expiry of the prescribed time.</t>
  </si>
  <si>
    <t>Powers of Controller</t>
  </si>
  <si>
    <t>As a Senior Intellectual Property Attorney, I provide the following response based strictly on the provided source content:
According to **Rule 138** of **The Patents Rules, 2003** (Page 141):
1.  **Maximum Extension:** The Controller may extend the time prescribed for doing any act or taking any proceeding for a maximum period of **one month**, provided the act is not one of the specific exceptions listed in sub-rule (1).
2.  **Timing of Request:** Any request for such an extension must be made **before the expiry of the time prescribed** in the rules for that specific act or proceeding.
**Source Citation:**
*   The Patents Rules, 2003, Rule 138, Page 141.</t>
  </si>
  <si>
    <t>['141']</t>
  </si>
  <si>
    <t>Regarding the constitution of an Opposition Board, who is eligible to be a member and who is specifically excluded?</t>
  </si>
  <si>
    <t>An examiner is eligible to be a member, but the examiner who dealt with the application during the grant proceeding is not eligible for that specific application.</t>
  </si>
  <si>
    <t>According to the **Patents Rules, 2003**, the following criteria apply to the constitution of an Opposition Board under **Rule 56**:
**Eligibility for Membership:**
*   An examiner appointed under sub-section (2) of section 73 is eligible to be a member of the Opposition Board.
*   The Board consists of three members, one of whom is nominated by the Controller as the Chairman.
**Specific Exclusions:**
*   An examiner who has dealt with the application for patent during the proceeding for grant of patent thereon is specifically excluded and shall not be eligible to serve as a member of the Opposition Board for that specific application.
**Source Citation:**
*   **The Patents Rules, 2003**, Rule 56, Sub-rules (1), (2), and (3), Page 61.</t>
  </si>
  <si>
    <t>['61']</t>
  </si>
  <si>
    <t>What is the time limit for filing a request for examination after the date of priority or filing of a patent application?</t>
  </si>
  <si>
    <t>The request must be made within forty-eight months from the date of priority or date of filing, whichever is earlier.</t>
  </si>
  <si>
    <t>According to the **Patents Rules, 2003**, the time limits for filing a request for examination are as follows:
1.  **Standard Request:** A request for examination under section 11B must be made in Form 18 within **forty-eight months** from the date of priority of the application or from the date of filing of the application, whichever is earlier (**Rule 24B(1)(i)**, Page 43).
2.  **Secrecy Directions:** If the application is under secrecy direction, the request for examination under sub-section (4) of section 11B shall be made within **forty-eight months** from the date of priority or filing, or within **six months** from the date of revocation of the secrecy direction, whichever is later (**Rule 24B(1)(iii)**, Page 43).
3.  **Divisional Applications:** For a further application filed under section 16, the request for examination shall be made within **forty-eight months** from the date of filing or priority of the first mentioned application, or within **six months** from the date of filing of the further application, whichever is later (**Rule 24B(1)(iv)**, Page 43).</t>
  </si>
  <si>
    <t>In the case of a startup or small entity applicant, what happens to the fee scale if the entity ceases to be a startup or small entity during the pendency of the application due to the lapse of time or crossing the turnover limit?</t>
  </si>
  <si>
    <t>No difference in the scale of fees shall be payable if the entity ceases to be a startup or small entity due to the lapse of the recognition period or crossing the financial threshold.</t>
  </si>
  <si>
    <t>Inferential</t>
  </si>
  <si>
    <t>As a Senior Intellectual Property Attorney, I provide the following response based on the provided source content:
According to the **Patents Rules, 2003**, specifically under **Rule 7**, there is a provision regarding the change in status of an applicant.
If a startup or small entity has filed an application for a patent and subsequently ceases to be a startup or small entity because of the lapse of the period of recognition by the competent authority, or because its turnover crosses the financial threshold limit, **no such difference in the scale of fees shall be payable**.
**Source Citation:**
*   **Act/Rules:** Patents Rules, 2003, Rule 7(3), Explanation.
*   **Page Number:** Page 11.</t>
  </si>
  <si>
    <t>['11']</t>
  </si>
  <si>
    <t>What are the procedural implications if an applicant fails to furnish an address for service in India to the Controller?</t>
  </si>
  <si>
    <t>The Controller is under no obligation to proceed or deal with the proceeding or patent, or to send any required notices, and may take a suo motu decision.</t>
  </si>
  <si>
    <t>Service of Documents</t>
  </si>
  <si>
    <t>As a Senior Intellectual Property Attorney, I have reviewed the provided provisions of **The Patents Rules, 2003**. Regarding the procedural implications of failing to furnish an address for service in India, the following applies:
According to **Rule 5** of **The Patents Rules, 2003** (Page 9), every person involved in any proceedings under the Act, as well as every patentee, is mandatorily required to furnish an address for service to the Controller. This must include both a postal address in India and an e-mail address.
If an applicant or patentee fails to provide this address for service, the procedural implications are as follows:
1.  **Cessation of Controller's Obligations:** The Controller shall be under no obligation to proceed with or deal with any proceeding or patent related to that person.
2.  **Withholding of Notices:** The Controller is under no obligation to send any notice that may be required to be given under the Act or the rules.
3.  **Suo Motu Decisions:** The Controller is empowered to take a *suo motu* (on their own motion) decision in the matter.
4.  **Requirement for Patent Agents:** If a patent agent is involved, they are additionally required to furnish a mobile number registered in India.
Furthermore, **Rule 6(2)** (Page 10) stipulates that any written communication sent to the address for service provided under Rule 5 shall be deemed properly addressed for the purposes of the proceedings. Without this address, the applicant effectively forfeits their right to receive official communications and participate in the progression of their application or patent.
**Source Citations:**
*   **The Patents Rules, 2003**, Rule 5, Page 9.
*   **The Patents Rules, 2003**, Rule 6(2), Page 10.</t>
  </si>
  <si>
    <t>['9']</t>
  </si>
  <si>
    <t>What is the consequence if a patent agent fails to submit an original document within fifteen days after being asked to do so following an electronic filing?</t>
  </si>
  <si>
    <t>The document shall be deemed not to have been filed.</t>
  </si>
  <si>
    <t>Filing Procedures</t>
  </si>
  <si>
    <t>As a Senior Intellectual Property Attorney, I have reviewed the provided source content regarding your query.
According to **Rule 6(1A)** of **The Patents Rules, 2003**, a patent agent is required to file all documents only by electronic transmission duly authenticated. However, if any document is requested to be submitted in its original form, it must be submitted within a period of fifteen days.
The consequence of failing to meet this requirement is that **such documents shall be deemed not to have been filed**.
**Source Citation:**
*   **The Patents Rules, 2003**, Page 10.</t>
  </si>
  <si>
    <t>['10']</t>
  </si>
  <si>
    <t>If a patentee decides not to contest an opposition or fails to file a reply and evidence within the two-month period, what is the legal status of the patent?</t>
  </si>
  <si>
    <t>The patent shall be deemed to have been revoked.</t>
  </si>
  <si>
    <t>According to **The Patents Rules, 2003**, specifically **Rule 58(2)** found on **Page 63**, if the patentee does not desire to contest the opposition or fails to leave their reply and evidence within the prescribed two-month period, the patent shall be **deemed to have been revoked**.</t>
  </si>
  <si>
    <t>Regarding the established 'Roll of Scientific Advisers,' how does the Controller handle a candidate who does not meet the strict 15-year experience requirement but is otherwise exceptionally qualified?</t>
  </si>
  <si>
    <t>The Controller has the power to relax the qualifications by order, for reasons recorded in writing, if the person is otherwise well qualified.</t>
  </si>
  <si>
    <t>Scientific Advisers</t>
  </si>
  <si>
    <t>As a Senior Intellectual Property Attorney, I have reviewed the provided source content regarding the Roll of Scientific Advisers under **The Patents Rules, 2003**.
Regarding a candidate who may not meet the specific qualification requirements (such as the experience criteria mentioned in sub-rule (2) of rule 103) but is otherwise exceptionally qualified, the Controller handles the situation as follows:
According to **Rule 106** of **The Patents Rules, 2003** (Page 108), the Controller has the "**Power to relax**" these requirements. If the Controller is of the opinion that it is necessary or expedient to do so, he may relax any of the qualifications specified in sub-rule (2) of rule 103 for a person who is otherwise well-qualified. To exercise this power, the Controller must:
1.  Issue an **order** to that effect.
2.  Provide **reasons to be recorded in writing** for said relaxation.
Additionally, under **Rule 105** (Page 107), the Controller may enter the name of any person in the roll of scientific advisers, notwithstanding anything contained in rules 103 and 104, if he is of the opinion—after such inquiry as he deems fit—that such person should be entered in the roll.</t>
  </si>
  <si>
    <t>['108']</t>
  </si>
  <si>
    <t>What is the consequence if a demand for an international preliminary examination is submitted after the period specified in the Treaty or its regulations?</t>
  </si>
  <si>
    <t>The demand shall be considered to have not been made and no International Preliminary Examination Report shall be prepared.</t>
  </si>
  <si>
    <t>According to the **Patents Rules, 2003**, specifically under **Rule 19G**, the consequences of a late submission are as follows:
In the event that a demand for an international preliminary examination is made after the expiry of the period specified in the Treaty or the regulations under the Treaty, it shall be considered to have not been made. Consequently, no International Preliminary Examination Report shall be prepared by the Examining Authority.
**Source Citations:**
*   **Act/Rules:** Patents Rules, 2003 (Rule 19G)
*   **Page Number:** 31</t>
  </si>
  <si>
    <t>['31']</t>
  </si>
  <si>
    <t>In industrial design registration, if a document is sent via tele-fax or e-mail, within how many days must the original document be submitted to the office?</t>
  </si>
  <si>
    <t>The original documents must be submitted within fifteen days from the date of receipt of the faxed or e-mailed documents.</t>
  </si>
  <si>
    <t>design-rules-2001</t>
  </si>
  <si>
    <t>Document Filing Protocols</t>
  </si>
  <si>
    <t>As a Senior Intellectual Property Attorney, I provide the following response based on the provided source content:
According to the **Designs Rules, 2001**, framed under the **Designs Act, 2000**, if documents are sent through tele-fax or e-mail and are clear and fully legible, they shall be accepted provided that the original documents corresponding to the ones sent electronically are submitted to the office within **fifteen days** from the date of receipt of the documents so faxed or e-mailed.
**Source Citations:**
*   **Act:** Designs Act, 2000 (referenced in the Designs Rules, 2001)
*   **Rule:** Rule 3(1)
*   **Page Numbers:** Page 1 and Page 2 (sentence reassembled across page boundary)</t>
  </si>
  <si>
    <t>['1', '2']</t>
  </si>
  <si>
    <t>Regarding the payment of fees for registration, what specific forms of payment are expressly prohibited and shall not be accepted?</t>
  </si>
  <si>
    <t>Stamps and Indian postal orders shall not be accepted in payment of fees.</t>
  </si>
  <si>
    <t>Fees and Payments</t>
  </si>
  <si>
    <t>As a Senior Intellectual Property Attorney, I provide the following response regarding the prohibited methods for the payment of fees based on the provided source content:
According to **Rule 5(2)(c)** of the **Designs Rules, 2001** (promulgated under the **Designs Act, 2000**), the following forms of payment are expressly prohibited and shall not be accepted:
1.  **Stamps**
2.  **Indian postal orders**
Furthermore, while cheques and demand drafts are generally accepted, they may be refused at the discretion of the Controller if they do not carry the correct amount of commission or if the full value cannot be collected in cash within the allowed time for payment, as per **Rule 5(2)(b)**.
**Source Citations:**
*   Designs Rules, 2001, Rule 5, Page 2.
*   Designs Act, 2000.</t>
  </si>
  <si>
    <t>['2']</t>
  </si>
  <si>
    <t>What are the mandatory formatting requirements for the paper and margins of documents (excluding drawings) submitted for registration?</t>
  </si>
  <si>
    <t>Documents must be on strong white paper of A4 size, with a margin of at least one inch and a half (four centimeters) on the left-hand part.</t>
  </si>
  <si>
    <t>Technical Standards</t>
  </si>
  <si>
    <t>As a Senior Intellectual Property Attorney, I provide the following response based on the **Trade Marks Rules** (as referenced in the source content provided):
According to **Rule 13(1)** of the Trade Marks Rules, the mandatory formatting requirements for all applications, notices, statements, or other documents (excluding trade marks/drawings) are as follows:
*   **Method of Execution:** Documents must be neatly handwritten, typewritten, lithographed, or printed.
*   **Language:** They must be in either Hindi or English.
*   **Legibility:** They must be in large and legible characters using deep permanent ink.
*   **Paper Quality:** Documents must be on strong paper.
*   **Printing Side:** Documents must be on one side of the paper only, except in the case of affidavits.
*   **Dimensions:** The paper size must be approximately 33 centimetres by 20 centimetres.
*   **Margins:** There must be a margin of not less than 4 centimetres on the left-hand part of the document.
**Source Citations:**
*   Trade Marks Rules, Page 7.</t>
  </si>
  <si>
    <t>trademark_rules</t>
  </si>
  <si>
    <t>['7']</t>
  </si>
  <si>
    <t>When an applicant authorizes a person to act as their agent for registration matters, which specific Form must be used?</t>
  </si>
  <si>
    <t>The authority to an agent may be given in Form-21.</t>
  </si>
  <si>
    <t>Agency and Authorization</t>
  </si>
  <si>
    <t>In accordance with the **Design Rules 2001**, when an applicant authorizes a person to act as their agent for registration matters, the following applies:
The specific form to be used is **Form-21**.
According to **Rule 9 (Agency)**, an applicant may authorize any person specified in section 43 of the Act to act as their agent and to receive all notices, requisitions, and communications. The rule explicitly states, "The authority may be given in Form- 21" (**Design Rules 2001, Page 3**).
This is further confirmed by the **Second Schedule (List of Forms)**, which identifies **Form 21** as the form for "Power of authority to agents" under Section 43 (**Design Rules 2001, Page 16**). Additionally, the **First Schedule** (Fees) indicates that there is no fee prescribed for the filing of this specific form (**Design Rules 2001, Page 15**).</t>
  </si>
  <si>
    <t>['3', '15', '16']</t>
  </si>
  <si>
    <t>In industrial design registration, how many copies of the design representation must accompany a standard application under Section 5?</t>
  </si>
  <si>
    <t>An application shall be accompanied by four copies of the representation of the design.</t>
  </si>
  <si>
    <t>Application Requirements</t>
  </si>
  <si>
    <t>Under the **Design Rules 2001**, an application for the registration of a design made under section 5 of the Act must be accompanied by **four copies** of the representation of the design.
According to **Rule 11(1)**, each of these four copies must be dated and signed by the applicant or his agent. Furthermore, **Rule 14(1)** specifies that these four copies shall be exactly similar drawings, photographs, tracings, or other representations of the design, or shall be specimens of the design.
**Source Citation:**
*   Design Rules 2001, Page 4.</t>
  </si>
  <si>
    <t>['4']</t>
  </si>
  <si>
    <t>If a design consists of a repeating surface pattern, what are the minimum dimensions required for the representation?</t>
  </si>
  <si>
    <t>The representation shall not be of less size than 5 by 4 inches or 13.00 centimeters by 10.00 centimeters.</t>
  </si>
  <si>
    <t>Representation Standards</t>
  </si>
  <si>
    <t>As a Senior Intellectual Property Attorney, I provide the following guidance based on the **Design Rules 2001**:
According to **Rule 14(7)** of the **Design Rules 2001**, if a design consists of a repeating surface pattern, the representation must meet the following requirements:
1.  **Completeness**: It must show the complete pattern and a sufficient portion of the repeat in both length and width.
2.  **Minimum Dimensions**: The representation shall not be less than **5 by 4 inches** or **13.00 centimeters by 10.00 centimeters**.
**Source:** 
*   Design Rules 2001, Page 4.</t>
  </si>
  <si>
    <t>Within what timeframe must a reciprocity application be filed in India from the date of the first application in a convention country?</t>
  </si>
  <si>
    <t>The application shall be made within six months from the date of the first application in the convention country or United Kingdom.</t>
  </si>
  <si>
    <t>Reciprocity Applications</t>
  </si>
  <si>
    <t>According to the **Design Rules 2001**, a reciprocity application for the registration of a design must be filed within a specific timeframe.
The application shall be made within **six months** from the date of the first application in the United Kingdom or convention country or group of countries or inter-governmental organisation by the person by whom such application was made, or by their legal representative or assignee.
**Citations:**
*   **Design Rules 2001**, Rule 15(1), Page 4 and Page 5.</t>
  </si>
  <si>
    <t>['5']</t>
  </si>
  <si>
    <t>What is the consequence if an applicant fails to remove examiner objections or apply for a hearing within three months of the official communication?</t>
  </si>
  <si>
    <t>The applicant shall be deemed to have withdrawn his application.</t>
  </si>
  <si>
    <t>Examination and Objections</t>
  </si>
  <si>
    <t>According to the provided source content, the consequence is as follows:
If an applicant or their agent fails to remove the objections or apply for a hearing within **three months** from the date of the official communication of the statement of objections, the applicant **shall be deemed to have withdrawn his application**.
Furthermore, the rules specify that the total period allowed for the removal of such objections shall not exceed six months from the date of filing of the application.
**Citations:**
*   **Designs Act 2000 / Design Rules 2001**
*   **Page 5** (Rule 18, Sub-rule 1)</t>
  </si>
  <si>
    <t>['5', '6']</t>
  </si>
  <si>
    <t>Under what condition is an application for design registration deemed 'abandoned'?</t>
  </si>
  <si>
    <t>An application is deemed abandoned if it has not been completed so as to enable registration within six months from the date of application owing to the neglect or default of the applicant.</t>
  </si>
  <si>
    <t>Application Lifecycle</t>
  </si>
  <si>
    <t>Based on the provided source content, an application for design registration is deemed **abandoned** under the following condition:
An application which, due to any neglect or default of the applicant, has not been completed in a manner that enables registration to be effected within **six months** from the date of application shall be deemed to be abandoned.
**Source Citation:**
*   **Design Rules, 2001 (under the Designs Act, 2000)**: Rule 21, Page 6.</t>
  </si>
  <si>
    <t>['6']</t>
  </si>
  <si>
    <t>Which specific markings must a proprietor apply to an article before delivery for sale to indicate its registered status?</t>
  </si>
  <si>
    <t>The article must be marked with the word REGISTERED or the abbreviations REGD. or RD.</t>
  </si>
  <si>
    <t>Marking of Articles</t>
  </si>
  <si>
    <t>According to the **Design Rules 2001**, specifically **Rule 26** regarding the **Marking of articles before delivery on sale**, a proprietor must ensure that each article is marked before it is delivered for sale.
The specific markings required are:
1.  The word **REGISTERED**; or
2.  The abbreviation **REGD.**; or
3.  The abbreviation **RD**.
In addition to these words or abbreviations, the article must also be marked with the **number appearing on the certificate of registration**. 
**Exceptions to the Registration Number Requirement:**
The requirement to include the registration number is dispensed with for articles that are soft or brittle in nature to which designs registered in different classes of articles have been applied.
**General Exemptions:**
The marking requirements (both the word/abbreviation and the registration number) are dispensed with for:
*   **Textile goods** in which the design is printed or woven (excluding handkerchiefs).
*   **Articles made of charcoal dust**, which are brittle and are not sold in single pieces.
**Source:**
*   Design Rules 2001, Page 7.</t>
  </si>
  <si>
    <t>For a petition to cancel a registration under Section 19, what notice period is the Controller required to give parties for the hearing?</t>
  </si>
  <si>
    <t>The Controller shall give the parties not less than ten days’ notice of such hearing.</t>
  </si>
  <si>
    <t>Cancellation Proceedings</t>
  </si>
  <si>
    <t>As a Senior Intellectual Property Attorney, I provide the following answer based on the **Designs Rules, 2001**:
For a petition to cancel the registration of a design under Section 19 of the Act, the Controller is required to give the parties **not less than ten days’ notice** of the hearing.
**Citations:**
*   **Designs Rules, 2001**, Rule 29(10), Page 8.</t>
  </si>
  <si>
    <t>['8', '12']</t>
  </si>
  <si>
    <t>If the Register of Designs is maintained on computer floppies or diskettes and a dispute arises regarding the data, which source of information is considered final?</t>
  </si>
  <si>
    <t>The information as contained in the backup file or master file shall be final.</t>
  </si>
  <si>
    <t>Registry Maintenance</t>
  </si>
  <si>
    <t>According to the **Design Rules, 2001**, under Rule 30(2), when the Register of Designs is maintained wholly or partly on computer floppies or diskettes, these shall be maintained under the superintendence and control of the Controller. 
In the event of any dispute or doubt regarding the information of designs, the information as contained in the **backup file or master file** shall be final.
**Authority:** 
*   **Design Rules, 2001**, Page 9.</t>
  </si>
  <si>
    <t>What must the Controller do if a deponent of an affidavit is illiterate or blind?</t>
  </si>
  <si>
    <t>A certificate must be attached stating that the affidavit was read, translated, or explained in the Controller's presence, and that the deponent seemed to understand it and signed or marked it in their presence.</t>
  </si>
  <si>
    <t>Evidentiary Standards</t>
  </si>
  <si>
    <t>I cannot find the answer to your query regarding the requirements for illiterate or blind deponents in these specific rules. The provided source content (The Patents Rules, 2003, Pages 127–129) covers Rule 125 (Notification of corrections), Rule 126 (Form, etc., of affidavits), and Rule 127 (Exhibits), but it does not contain provisions addressing illiterate or blind deponents.</t>
  </si>
  <si>
    <t>['128']</t>
  </si>
  <si>
    <t>Under what circumstance may the Controller curtail the standard ten-day notice period for a hearing?</t>
  </si>
  <si>
    <t>The period may be curtailed if giving the full ten days' notice would cause the application to be deemed abandoned before the hearing.</t>
  </si>
  <si>
    <t>Discretionary Powers</t>
  </si>
  <si>
    <t>Based on the provided source content, I cannot find the specific circumstances under which the Controller may curtail the hearing notice period in these specific rules.
According to **Rule 129** of **The Patents Rules, 2003** (Page 131), the Controller is required to give a party "**ten days notice** of such hearing **ordinarily**" before exercising any discretionary power that is likely to affect them adversely. While the term "ordinarily" implies that exceptions may exist, the provided text does not explicitly define the circumstances that would allow for a curtailment of this period.</t>
  </si>
  <si>
    <t>['131']</t>
  </si>
  <si>
    <t>What is the prescribed fee for an application for the extension of copyright under Section 11(2)?</t>
  </si>
  <si>
    <t>The fee is Rs. 2000.00.</t>
  </si>
  <si>
    <t>Fee Schedule</t>
  </si>
  <si>
    <t>According to the **First Schedule** of the **Designs Rules, 2001**, the prescribed fee for an application for the extension of copyright under **Section 11(2)** of the **Designs Act, 2000** is as follows:
*   **Fee:** Rs. 2000.00
*   **Form Required:** Form 3
*   **Source:** Page 14 (Entry No. 3)
As specified in Rule 23, an application under sub-section (2) of section 11 must be made in Form-3 (Page 6). The fees are required to be paid in accordance with the First Schedule as mandated by Rule 5 (Page 2).</t>
  </si>
  <si>
    <t>['2', '6', '14', '15']</t>
  </si>
  <si>
    <t>Which Form is required to request the correction of a clerical error under Section 29?</t>
  </si>
  <si>
    <t>Form-14 is used for the correction of clerical errors.</t>
  </si>
  <si>
    <t>Administrative Corrections</t>
  </si>
  <si>
    <t>According to the provided source content for the **Design Rules 2001**, the required form is as follows:
To request the correction of a clerical error under **Section 29**, the applicant must use **Form 14**.
**Citations:**
*   **The First Schedule (Fees):** Entry 15 specifies that a request for correction of clerical error under Section 29 requires Form 14 and a fee of **Rs. 500.00** (**Page 15**).
*   **The Second Schedule (List of Forms):** Form No. 14 is explicitly listed for a "Request for correction of clerical error" under Section 29 (**Page 16**).</t>
  </si>
  <si>
    <t>['15']</t>
  </si>
  <si>
    <t>In the classification of goods, which class encompasses 'Travel goods, cases, parasols and personal belongings'?</t>
  </si>
  <si>
    <t>Class 03.</t>
  </si>
  <si>
    <t>Classification of Goods</t>
  </si>
  <si>
    <t>According to **The Third Schedule (Classification of Goods)** of the **Design Rules, 2001**, the class that encompasses "Travel goods, cases, parasols and personal belongings, not elsewhere specified" is:
**CLASS 03**
This classification includes specific subclasses such as:
*   **03-01:** Trunks, suitcases, briefcases, handbags, keyholders, cases specially designed for their contents, wallets and similar articles.
*   **03-03:** Umbrellas, parasols, sunshades and walking sticks.
*   **03-04:** Fans.
*   **03-99:** Miscellaneous.
**Source:** Design Rules, 2001, Page 17.</t>
  </si>
  <si>
    <t>['17']</t>
  </si>
  <si>
    <t>Why are 'textile goods in which the design is printed or woven' exempt from the mandatory marking of the word 'REGISTERED'?</t>
  </si>
  <si>
    <t>The rules specifically dispense with marking requirements for textile goods (other than handkerchiefs) where the design is printed or woven.</t>
  </si>
  <si>
    <t>Marking Exemptions</t>
  </si>
  <si>
    <t>Based on the provided source content, specifically the **Design Rules 2001** on **Page 7**, **Rule 26**, it is stated that the requirement for marking articles with the word "REGISTERED" or the abbreviations "REGD." or "RD" is "dispensed with" for "(i) textile goods in which the design is printed or woven, other than handkerchiefs."
However, I cannot find the specific reasoning or "why" these goods are exempt within these specific rules, as the text only provides the provision for the exemption and not the underlying rationale.</t>
  </si>
  <si>
    <t>In which class and subclass would 'Bakers’ products, biscuits, and pastry' be categorized?</t>
  </si>
  <si>
    <t>Class 01, Subclass 01-01.</t>
  </si>
  <si>
    <t>According to the Third Schedule of the Design Rules 2001, "Bakers’ products, biscuits, and pastry" are categorized as follows:
*   **Class:** 01 (Foodstuffs)
*   **Subclass:** 01-01 (Bakers’ products, biscuits, pastry, macaroni and other cereal products. Chocolates, confectionery, ices)
**Source:** Designs Act 2000 / Design Rules 2001, Page 16.</t>
  </si>
  <si>
    <t>['16']</t>
  </si>
  <si>
    <t>What is the maximum cost allowable for the attendance of a professional at a hearing before the Controller, per day?</t>
  </si>
  <si>
    <t>The scale of costs for every day or part of a day of hearing is Rs. 500.00.</t>
  </si>
  <si>
    <t>Cost Schedule</t>
  </si>
  <si>
    <t>As a Senior Intellectual Property Attorney, I have reviewed the provided source content from the **Design Rules, 2001** regarding the scale of costs allowable in proceedings before the Controller.
According to **The Fourth Schedule (see rule 43)**, the maximum cost allowable for a hearing before the Controller is as follows:
*   **Matter:** For every day or part of a day of Hearing before the Controller.
*   **Amount:** Rs. 500.00
*   **Citation:** Design Rules 2001, Page 31 (Entry No. 11).</t>
  </si>
  <si>
    <t>['30', '31']</t>
  </si>
  <si>
    <t>In the registration of commercial identifiers, what are the specific physical dimensions and margin requirements for applications and notices submitted to the Registry?</t>
  </si>
  <si>
    <t>Documents must be of a size approximately 33 centimetres by 20 centimetres and must have a left-hand margin of not less than 4 centimetres.</t>
  </si>
  <si>
    <t>General Requirements</t>
  </si>
  <si>
    <t>According to the **Trade Marks Rules**, the specific physical dimensions and margin requirements for applications, notices, and other documents (excluding the trade marks themselves) submitted to the Registry are as follows:
*   **Physical Dimensions:** Documents must be approximately **33 centimetres by 20 centimetres** (Page 7).
*   **Margin Requirements:** Documents must have a margin of not less than **4 centimetres** on the left-hand part thereof (Page 7).
**Additional Specifications (Rule 13):**
*   **Method of Production:** Documents must be neatly handwritten, typewritten, lithographed, or printed in Hindi or in English.
*   **Characters and Ink:** They must be in large and legible characters using deep permanent ink.
*   **Paper Quality:** Documents must be on strong paper.
*   **Formatting:** Except in the case of affidavits, documents must be printed on one side of the paper only (Page 7).
*   **Electronic Compatibility:** The Registrar may alter these size requirements after informing the public in the Journal to ensure compatibility with electronic mode (Page 8).
Sources: 
*   **Trade Marks Rules**, Page 7
*   **Trade Marks Rules**, Page 8</t>
  </si>
  <si>
    <t>Regarding the filing of documents for business symbols, what are the specific signature requirements for a document being submitted on behalf of a partnership firm?</t>
  </si>
  <si>
    <t>It must be signed by at least one of the partners stating that he signs on behalf of the firm. The capacity in which the individual signs must be stated below the signature, and the signature must be accompanied by the name of the signatory in Hindi or capital letters if in English.</t>
  </si>
  <si>
    <t>Filing Protocols</t>
  </si>
  <si>
    <t>As a Senior Intellectual Property Attorney, I have reviewed the Trademark Rules provided in the source content. Regarding the signature requirements for documents submitted on behalf of a partnership firm, the following specific rules apply:
According to **Rule 14** of the **Trademark Rules** (found on **Page 8**):
1.  **Authorization:** A document purporting to be signed by a partnership firm must be signed by at least one of the partners.
2.  **Declaration of Intent:** The signing partner must explicitly state that he or she is signing on behalf of the firm.
3.  **Capacity:** The capacity in which the individual signs (i.e., as a "Partner") must be stated directly below the signature.
4.  **Signatory's Name:** The signature must be accompanied by the name of the signatory. This name must be written in Hindi or, if the signature is in English, it must be provided in capital letters (**Page 8**). 
Furthermore, when filing applications or documents for a firm, **Rule 16(2)** specifies that the full name and nationality of every partner must be stated in the application particulars (**Page 9**).</t>
  </si>
  <si>
    <t>['8']</t>
  </si>
  <si>
    <t>In the process of securing protection for a commercial mark, how is the 'appropriate office' of the Registry determined for a new applicant who does not have a principal place of business in India?</t>
  </si>
  <si>
    <t>The appropriate office is the office within whose territorial limits the place mentioned in the address for service in India, as specified in the application, is situated.</t>
  </si>
  <si>
    <t>Jurisdiction</t>
  </si>
  <si>
    <t>As a Senior Intellectual Property Attorney, I have reviewed the provided Trademark Rules to address your query regarding the determination of the appropriate office for a new applicant without a principal place of business in India.
### Determination of the Appropriate Office
According to the **Trademark Rules**, specifically under the provisions for applications made on or after the notified date, the "appropriate office" of the Trade Marks Registry is determined as follows:
For an application for registration pending at the notified date or made on or after the notified date, where neither the applicant nor any of the joint applicants has a principal place of business in India, the appropriate office is the office of the Trade Marks Registry within whose territorial limits **the place mentioned in the address for service in India as specified in the application is situate.**
**Citations:**
*   **Trademark Rules, Page 4 (Rule 4(b))**
*   **Trademark Rules, Page 5 (Rule 4(b)(ii))**
### Relevant Definitions and Jurisdictional Stability
*   **Address for Service:** If no principal place of business exists in India, the applicant must provide an address for service in India, which then dictates the registry's jurisdiction.
*   **Jurisdiction Stability:** Per **Rule 5 (Page 5)**, once the appropriate office is determined based on the application filing, subsequent changes to the address for service do not affect the jurisdiction of that office.
*   **Filing Requirements:** Under **Rule 8 (Page 5)**, all applications, notices, and fees must be submitted to this specific appropriate office, except for certain matters (such as expedited searches or specific TM forms) which may be filed at the head office.</t>
  </si>
  <si>
    <t>['4', '5']</t>
  </si>
  <si>
    <t>Regarding the classification of goods and services for branding purposes, which international organization's index may an applicant refer to for full disclosure of classification contents?</t>
  </si>
  <si>
    <t>The applicant may refer to the current edition of the International Classification of Goods and Services published by the World Intellectual Property Organisation (WIPO).</t>
  </si>
  <si>
    <t>Classification</t>
  </si>
  <si>
    <t>As a Senior Intellectual Property Attorney, I provide the following guidance based on the provided source content:
According to Rule 22(2) of the **Trade Marks Rules**, for the purpose of determining the classification of particular goods and services and for the full disclosure of the content of international classification, an applicant may refer to the current edition of the International Classification of Goods and Services for the purpose of registration of trade mark published by the **World Intellectual Property Organisation** (or any subsequent edition as may be published).
Additionally, the applicant may refer to the alphabetical index of goods and services published by the Registrar under section 8.
**Source Citation:**
Trade Marks Rules, Page 11.</t>
  </si>
  <si>
    <t>If a person seeks preliminary advice from the Registrar regarding the distinctiveness of a proposed commercial symbol, what is the standard timeline for the Registrar to provide that advice?</t>
  </si>
  <si>
    <t>The advice shall ordinarily be given within seven working days of filing the application (Form TM-55).</t>
  </si>
  <si>
    <t>Registrar Powers</t>
  </si>
  <si>
    <t>According to the provided source content, the standard timeline for receiving preliminary advice from the Registrar is as follows:
Under **Rule 23(2)** of the **Trademark Rules**, the advice regarding the distinctiveness of a trade mark requested via Form TM-55 shall ordinarily be given within **seven working days** of the filing of the application. This advice must also contain the reasons for the Registrar's decision.
**Source Reference:**
*   Trademark Rules, Page 11.</t>
  </si>
  <si>
    <t>In the context of the protection of commercial symbols, what happens if an application or fee is inadvertently sent to the wrong Registry office?</t>
  </si>
  <si>
    <t>The Registrar may return it to the appropriate office if satisfied it was a bona fide error. The period it was retained by the wrong office is excluded from the period of limitation, and the fee is deemed to have been paid at the appropriate office.</t>
  </si>
  <si>
    <t>Procedural Errors</t>
  </si>
  <si>
    <t>As a Senior Intellectual Property Attorney, I provide the following guidance regarding the inadvertent filing of documents or fees at an incorrect office of the Trade Marks Registry, based on the provided **Trade Mark Rules**:
According to **Rule 9** of the **Trade Mark Rules** (found on **Page 6**), if an application, notice, statement, document, or fee is inadvertently sent to an office that is not the appropriate office, the following protocols apply:
1.  **Transfer of Documents:** If the Registrar is satisfied that the filing was a *bonafide* error, the Registrar may—on their own motion or upon a written request—return or transfer the application, notice, statement, or document to the appropriate office.
2.  **Period of Limitation:** The time during which the document was retained by the incorrect office shall be **excluded** when computing the period of limitation, provided that the document was required to be presented within a prescribed period.
3.  **Treatment of Fees:** Any fee paid at an office that is not the appropriate office shall be **deemed to have been paid at the appropriate office**.
4.  **Right to be Heard:** Before the Registrar can decline a request to recognize a filing made at the incorrect office, they must provide the applicant with an **opportunity of being heard**.
**Citations:**
*   **Trade Mark Rules**, Page 6, Rule 9.</t>
  </si>
  <si>
    <t>Regarding the representation of a three-dimensional commercial mark in an application, what specific visual materials must be provided?</t>
  </si>
  <si>
    <t>The reproduction must consist of a two-dimensional graphic or photographic reproduction containing three different views of the mark. The Registrar may call for up to five further views or a physical specimen if the views are insufficient.</t>
  </si>
  <si>
    <t>Representations</t>
  </si>
  <si>
    <t>Based on the **Trade Marks Rules** provided in the source content, the following specific visual materials and requirements must be met for the representation of a three-dimensional mark:
### 1. Primary Visual Requirements
Where an application contains a statement that the trade mark is a three-dimensional mark, the reproduction must be a **two-dimensional graphic or photographic reproduction** consisting of **three different views** of the trade mark (Rule 29(3)(i), Page 16).
### 2. Additional/Supplemental Materials
If the Registrar considers the initial reproduction insufficient to show the particulars of the mark, the applicant may be required to provide:
*   **Further Views:** Up to five additional different views of the mark and a description of the mark in words, provided within two months of the request (Rule 29(3)(ii), Page 16).
*   **Specimen:** If the additional views and description are still insufficient, the Registrar may call upon the applicant to furnish a physical specimen of the trade mark (Rule 29(3)(iii), Page 16).
### 3. General Representation Format
*   **Quantity:** The application must be made in triplicate and accompanied by **five additional representations** of the mark (Rule 29(1), Page 16).
*   **Dimensions:** The representation on the application form should be within a space of **8cm x 8cm**. In any case, the size shall not exceed **33cm x 20cm** with a **4cm margin** on the left-hand side (Rule 28, Page 16).
*   **Durability:** All representations must be of a durable nature. Additional representations must be mounted on a sheet of strong paper (approximately 33cm x 20cm) with a margin of at least 4cm on the left (Rule 30(1), Page 17).
*   **Alternative Submissions:** If the representation cannot be provided in the manner set forth, a specimen or copy may be sent in full size or on a reduced scale as the Registrar thinks convenient (Rule 30(3), Page 17).</t>
  </si>
  <si>
    <t>In the registration of business identifiers, what is the legal consequence if an applicant fails to respond to a deficiency notice issued by the Registrar within one month?</t>
  </si>
  <si>
    <t>The application may be treated as abandoned.</t>
  </si>
  <si>
    <t>Procedural Compliance</t>
  </si>
  <si>
    <t>As a Senior Intellectual Property Attorney, I provide the following guidance based on the Trade Mark Rules provided in the source content:
According to **Rule 36** of the **Trade Mark Rules** (as referenced in the provided text), if an application for the registration of a trade mark fails to satisfy the requirements of the Act or the rules, the Registrar will issue a notice to the applicant to remedy these deficiencies. 
The legal consequence of failing to respond is as follows: if the applicant fails to remedy any notified deficiency within **one month** of the date of the notice, the application **may be treated as abandoned**.
**Source Citation:**
*   **Trade Mark Rules**, Page 18 (Rule 36).</t>
  </si>
  <si>
    <t>['18', '19']</t>
  </si>
  <si>
    <t>What is the prescribed fee for a single application to register a commercial symbol across different classes of goods or services from a convention country?</t>
  </si>
  <si>
    <t>The fee is Rs. 2500 for each class (Form TM-52).</t>
  </si>
  <si>
    <t>As a Senior Intellectual Property Attorney, I provide the following information based on the provided Trade Marks Act 1999 rules and schedules:
The prescribed fee for a single application to register a trademark (commercial symbol) for different classes of goods or services from a convention country is **Rs. 2500.00 for each class**.
**Technical Details:**
*   **Form Number:** TM-52
*   **Legal Provision:** Section 18(2) and Section 154(2)
*   **Citation:** Trade Marks Act 1999, Page 75 (Entry No. 4) and Page 205.</t>
  </si>
  <si>
    <t>['76', '205']</t>
  </si>
  <si>
    <t>Regarding the opposition of a commercial mark's registration, what is the maximum aggregate time allowed to file a notice of opposition from the date the Journal is made available?</t>
  </si>
  <si>
    <t>A notice of opposition must be filed within three months, or within a further period not exceeding one month in the aggregate (total four months), provided an extension is requested via Form TM-44.</t>
  </si>
  <si>
    <t>As a Senior Intellectual Property Attorney, I provide the following guidance based on the provided Trademark Rules:
According to **Rule 47(1)** of the **Trademark Rules**, a notice of opposition to the registration of a trade mark must be filed within **three months** from the date the Journal is made available to the public. 
The Rules allow for an extension of this period; however, the extension is strictly limited. The maximum aggregate time allowed, including any extensions, is defined as follows:
*   **Initial Period:** Three months.
*   **Permissible Extension:** A further period not exceeding **one month in the aggregate**.
*   **Total Maximum Time:** **Four months** from the date the Journal is made available to the public (which date shall be certified by the Registrar).
To seek this extension, an application must be made in **Form TM-44** accompanied by the prescribed fee before the expiry of the initial three-month period, as specified in **Rule 47(6)**.
**Source Citation:**
*   **Trademark Rules**, Page 22 (Rule 47(1) and Rule 47(6)).
*   **Trademark Rules**, Page 23 (Rule 47(6) continued).</t>
  </si>
  <si>
    <t>['22', '23']</t>
  </si>
  <si>
    <t>What is the procedural fate of an opposition if the opponent fails to leave evidence in support of the opposition by way of affidavit within the two-month deadline (or its extension) after receiving the counterstatement?</t>
  </si>
  <si>
    <t>The opponent shall be deemed to have abandoned his opposition.</t>
  </si>
  <si>
    <t>Opposition Evidence</t>
  </si>
  <si>
    <t>As a Senior Intellectual Property Attorney, I provide the following assessment based on the provided **Trademark Rules**:
According to **Rule 50(2)** of the **Trademark Rules**, if an opponent fails to take action within the prescribed two-month period (or any granted extension not exceeding one month) after receiving the counterstatement, the opponent **"shall be deemed to have abandoned his opposition."**
**Detailed Procedural Requirements:**
*   **Timeframe:** Under **Rule 50(1)**, the opponent must either leave evidence by way of affidavit with the Registrar or intimate in writing that they do not desire to adduce evidence but intend to rely on the facts stated in the notice of opposition. This must be done within two months from the service of the counterstatement.
*   **Extensions:** An extension of the period for one month (not exceeding one month in the aggregate) may be requested via **Form TM-56** accompanied by the prescribed fee, provided the application for extension is made before the expiry of the initial two-month period (**Rule 50(3)**).
*   **Consequence of Inaction:** Failure to fulfill these requirements under sub-rule (1) within the specified time results in the automatic abandonment of the opposition as per **Rule 50(2)**.
**Sources:**
*   **Trademark Rules**, Page 24 (Rule 50(1) intro).
*   **Trademark Rules**, Page 25 (Rule 50(1) conclusion, 50(2), and 50(3)).</t>
  </si>
  <si>
    <t>['25']</t>
  </si>
  <si>
    <t>In the context of commercial mark renewal, what is the earliest timeframe an application for renewal (Form TM-12) can be filed before the expiration of the current registration?</t>
  </si>
  <si>
    <t>An application for renewal may be made at any time not more than six months before the expiration of the last registration.</t>
  </si>
  <si>
    <t>Renewal</t>
  </si>
  <si>
    <t>As a Senior Intellectual Property Attorney, I provide the following guidance based on the provided Trade Mark Rules:
According to **Rule 63(1)** of the **Trade Mark Rules**, an application for the renewal of a trade mark registration using **Form TM-12** may be filed at any time **not more than six months before the expiration** of the last registration of the trade mark.
**Source Reference:**
*   **Trade Mark Rules**, Page 29.</t>
  </si>
  <si>
    <t>['29', '30']</t>
  </si>
  <si>
    <t>If a commercial symbol has been removed from the register for non-payment of renewal fees, within what time limit can the proprietor apply for restoration and renewal?</t>
  </si>
  <si>
    <t>Within one year from the expiration of the last registration of the mark (Form TM-13).</t>
  </si>
  <si>
    <t>Restoration</t>
  </si>
  <si>
    <t>As a Senior Intellectual Property Attorney, I provide the following guidance based on the provided Trade Marks Rules:
According to **Rule 66** of the **Trade Marks Rules**, if a trade mark has been removed from the register for non-payment of renewal fees, the proprietor may apply for its restoration and renewal. The specific requirements are as follows:
1.  **Time Limit:** The application for restoration and renewal must be made **within one year** from the expiration of the last registration of the trade mark.
2.  **Form and Fees:** The application must be submitted using **Form TM-13** and must be accompanied by the prescribed fee.
3.  **Registrar's Discretion:** In considering the request for restoration and renewal, the Registrar shall have regard to the interest of other affected persons.
Furthermore, per the proviso in **Rule 65**, the Registrar will not remove the trade mark from the register if an application for payment of a surcharge (under the proviso to sub-section (3) of section 25) is made in **Form TM-10** within six months from the expiration of the last registration. However, once removal has occurred, the one-year limit under Rule 66 applies.
**Source Citations:**
*   Trade Marks Rules, Page 31 (Rule 66 and Rule 65 Proviso).</t>
  </si>
  <si>
    <t>Regarding assignments of commercial symbols without the goodwill of the business, what must the applicant provide to the Registrar to proceed with registration?</t>
  </si>
  <si>
    <t>The applicant must leave at the Registry a copy of the directions to advertise the assignment (obtained under rule 74) and proof (like copies of advertisements) showing that those directions have been fulfilled.</t>
  </si>
  <si>
    <t>Assignments</t>
  </si>
  <si>
    <t>As a Senior Intellectual Property Attorney, I have reviewed the provided Trademark Rules and the Trade Marks Act, 1999. Regarding the assignment of trademarks (commercial symbols) without the goodwill of the business, the following requirements must be met for the Registrar to proceed with the registration:
### **1. Statement of Circumstances**
According to **Rule 75** of the **Trademark Rules (Page 33)**, an application for the entry of an assignment without goodwill (under Rule 68) must specifically state:
*   Whether the trade mark had been or was used in the business in any of those goods or services; and
*   Whether the assignment was made otherwise than in connection with the goodwill of that business.
### **2. Filing of Directions and Proof of Advertisement**
If both of the above circumstances apply, the applicant must submit the following to the Trade Marks Registry to proceed:
*   **A copy of the directions to advertise** the assignment, which must be obtained from the Registrar via an application under Rule 74 (**Rule 75, Page 33**).
*   **Proof of fulfillment**, including copies of the advertisements or other evidence as the Registrar may require, to demonstrate that the Registrar's directions have been fulfilled (**Rule 75, Page 33**).
The Registrar will not proceed with the application if they are not satisfied that the directions have been fulfilled (**Rule 75, Page 33**).
### **3. Preliminary Application for Directions (Rule 74)**
Under **Rule 74 (Page 32)**, the application for these directions must be made in **Form TM-20** and must state the date of assignment. It must provide particulars of the registered trademark or, in the case of an unregistered mark, show the mark and provide user particulars.
### **4. Extensions and Associated Fees**
If the applicant requires an extension of time to apply for the Registrar's directions for advertisement under **Section 42** and **Rule 74(3)**, they must use **Form TM-21**. According to the fee table provided in the source content for **Form TM-21 (Page 137)**, the following costs apply:
| Extension Period | Prescribed Fee |
| :--- | :--- |
| 1 month | Rs. 500 |
| 2 months | Rs. 1,000 |
| 3 months | Rs. 1,500 |
### **5. Additional Documentation**
*   **Proof of Title:** The Registrar may require an affidavit in **Form TM-18** to verify the case or call for additional proof of title (**Rules 70 and 71, Page 32**).
*   **Stamp Duty:** Any instrument produced in proof of title must be properly stamped; otherwise, the Registrar shall impound it under the Indian Stamp Act, 1899 (**Rule 72, Page 32**).
*   **International Transmission:** If the assignment involves the transmission of money outside India, the applicant must produce permission from the relevant authority as specified by law (**Rule 73, Page 32**).</t>
  </si>
  <si>
    <t>['32', '137']</t>
  </si>
  <si>
    <t>In the case of 'registered users' of a commercial symbol, what must the Registrar do when a registration is for a specific time period and that period expires?</t>
  </si>
  <si>
    <t>The Registrar shall cancel the entry of the registered user at the end of that period.</t>
  </si>
  <si>
    <t>Registered Users</t>
  </si>
  <si>
    <t>As a Senior Intellectual Property Attorney, I provide the following guidance based on the **Trademark Rules** found in the provided source:
In the event that a "registered user" is registered for a specific time period, the Registrar's duties upon the expiration of that period are as follows:
1.  **Mandatory Cancellation:** According to **Rule 88(2)**, if the registration of a registered user was for a set period (in accordance with section 49(1)(b)(iv)), the Registrar **shall cancel the entry** of the registered user at the end of that period.
2.  **Adjustment of Specifications:** If any goods or services are omitted from the trademark registration itself, the Registrar must simultaneously omit them from the specifications of the registered users.
3.  **Required Notification:** The Registrar is required to notify both the registered proprietor of the trade mark and the registered users whose permitted use is affected by such cancellation or omission.
**Source Citations:**
*   **Act/Rules:** Trademark Rules (referencing Section 49 and 50 of the Trade Marks Act).
*   **Page Number:** 38 (Rule 88).</t>
  </si>
  <si>
    <t>['37', '38']</t>
  </si>
  <si>
    <t>In the registration of commercial symbols for textile goods, what is the definition of a 'balanced numeral'?</t>
  </si>
  <si>
    <t>A balanced numeral means a trade mark consisting of either identical numerals or identical letters of not less than three nor more than seven digits.</t>
  </si>
  <si>
    <t>Textile Goods</t>
  </si>
  <si>
    <t>According to the provided source content, specifically within the **Trade Marks Rules** under **Part IV: Special Provision for Textile Goods**, the definition is as follows:
A **"balanced numeral"** means a trade mark consisting of either identical numerals or identical letters of not less than three nor more than seven digits. 
For the purposes of this definition, a **"digit"** includes a single letter.
**Source Citation:**
*   **Trade Marks Rules**, Page 58, Rule 141.</t>
  </si>
  <si>
    <t>['58']</t>
  </si>
  <si>
    <t>What are the minimum age and citizenship requirements for an individual to qualify for registration as a legal agent for commercial mark proceedings?</t>
  </si>
  <si>
    <t>The individual must be a citizen of India and not less than 21 years of age.</t>
  </si>
  <si>
    <t>Agents</t>
  </si>
  <si>
    <t>As a Senior Intellectual Property Attorney, I provide the following response based on the provided Trade Marks Rules:
According to **Rule 150** of the **Trade Marks Rules**, an individual must meet the following citizenship and age requirements to qualify for registration as a trade marks agent:
1.  **Citizenship:** The individual must be a citizen of India (**Trade Marks Rules, Page 63**).
2.  **Minimum Age:** The individual must be not less than 21 years of age (**Trade Marks Rules, Page 63**).
These requirements are subject to the provisions of Rule 151 and are part of the broader qualifications which also include passing prescribed examinations or being a legal practitioner/Company Secretary, and holding a university degree.</t>
  </si>
  <si>
    <t>Regarding the testing of textile piece-goods, what happens if an informant provides information about a false trade description that is later found to be willfully false?</t>
  </si>
  <si>
    <t>The customs-collector may require a security not exceeding five hundred rupees, which shall be forfeited if the information is willfully false.</t>
  </si>
  <si>
    <t>Textile Testing</t>
  </si>
  <si>
    <t>As a Senior Intellectual Property Attorney, I provide the following answer based strictly on the provided Trade Marks Rules:
Regarding the testing of yarns and piece-goods, the customs-collector may require security from any informant who provides information that a trade description is false (as referred to in Rule 166). This security shall not exceed **five hundred rupees**. If the customs-collector is satisfied that the information provided by the informant is **wilfully false**, the security shall be **forfeited**.
**Sources:**
*   **Trade Marks Rules**, Page 68 (Rule 166)
*   **Trade Marks Rules**, Page 69 (Rule 172)</t>
  </si>
  <si>
    <t>['69']</t>
  </si>
  <si>
    <t>In the context of the protection of commercial identifiers, what is the prescribed fee for an application to register a 'collective mark' for a specification of goods or services in one class?</t>
  </si>
  <si>
    <t>The fee is Rs. 10,000 (Form TM-3).</t>
  </si>
  <si>
    <t>As a Senior Intellectual Property Attorney, I have reviewed the provided fee schedules. Based on the source content, the prescribed fee for an application to register a collective mark is as follows:
| Entry No. | On what payable | Amount (Rs. P.) | Corresponding Form Number |
| :--- | :--- | :--- | :--- |
| 8. | On application under section 63(1) to register a collective mark for a specification of goods or services included in a class | 10,000.00 | TM-3 |
**Citations:**
*   **Act:** Trade Marks Act (as referenced via Section 63(1))
*   **Source:** trademark_rules-75-93, Page 2</t>
  </si>
  <si>
    <t>trademark_rules-75-93</t>
  </si>
  <si>
    <t>What is the rationale behind the Registrar requiring written consent in applications involving commercial marks that feature the representation of a living person or a person who died within 20 years of the application date?</t>
  </si>
  <si>
    <t>To ensure that the applicant has the legal authority to use the name or representation; in default of such consent, the Registrar may refuse to proceed with the application.</t>
  </si>
  <si>
    <t>Based on the provided **Trade Mark Rules**, specifically **Rule 34** on **Page 18**, the requirement for written consent is as follows:
When a trade mark features the name or representation of a living person or a person who died within twenty years prior to the application date, the Registrar may require the applicant to provide written consent. 
**Rationale/Purpose as per the text:**
The source content indicates that this consent is required for the **"use of the name or representation"** on the trade mark. In the case of a living person, the consent must come from that individual. In the case of a person deceased within the last twenty years, the consent must be obtained from their **legal representative**.
**Consequence of Non-compliance:**
According to **Rule 34**, if the applicant defaults on providing such consent when required, the Registrar may **refuse to proceed with the application** for the registration of the trade mark.
Specific rationale beyond the procedural requirement to authorize the "use of the name or representation" is not explicitly detailed in these specific rules.</t>
  </si>
  <si>
    <t>['18']</t>
  </si>
  <si>
    <t>In trademark registration procedures, what is the standard fee for filing a single-class application for goods or services under Section 18(1) using Form TM-1?</t>
  </si>
  <si>
    <t>Rs. 2500.00</t>
  </si>
  <si>
    <t>Fees and Forms</t>
  </si>
  <si>
    <t>Based on the provided fee schedule from the trademark rules, here is the information regarding your query:
According to Entry No. 1, the standard fee for an application to register a trade mark for a specification of goods or services included in one class under **Section 18(1)** using **Form TM-1** is **Rs. 2500.00**.
**Authority and Source:**
*   **Act:** Trade Marks Act, 1999 (as referenced by Section 18(1) in the provided rules).
*   **Source:** trademark_rules-75-93 | Page 1.</t>
  </si>
  <si>
    <t>Which specific form must be utilized by a party to register a collective mark for a specification of goods or services included in a class under Section 63(1)?</t>
  </si>
  <si>
    <t>Form TM-3</t>
  </si>
  <si>
    <t>As a Senior Intellectual Property Attorney, I have reviewed the provided source content regarding trademark registration procedures.
To register a collective mark for a specification of goods or services included in a class under Section 63(1), the specific form that must be utilized is **Form TM-3**.
**Citations:**
*   **Trade Mark Rules**, Page 2 (Entry No. 8)
*   **Trade Mark Rules**, Page 19 (Form List)
According to the fee schedule provided on Page 2, the amount payable for this application is **Rs. 10,000.00**.</t>
  </si>
  <si>
    <t>['2', '16', '19']</t>
  </si>
  <si>
    <t>Regarding the renewal of a trademark, what is the prescribed surcharge if the renewal application is filed within six months after the expiration of the last registration under Section 25(3)?</t>
  </si>
  <si>
    <t>Rs. 3000.00</t>
  </si>
  <si>
    <t>Renewal and Restoration</t>
  </si>
  <si>
    <t>As a Senior Intellectual Property Attorney, I have reviewed the provided fee schedules under the Trade Marks Act and can provide the following determination:
According to the schedule of fees, specifically **Item No. 22**, the prescribed surcharge for an application for renewal under the proviso to **Section 25(3)** filed within six months from the expiration of the last registration of the trade mark is **3000.00**.
This application must be submitted using **Form TM-10**.
**Source:**
Trade Marks Act / Rules (trademark_rules-75-93), **Page 4**.</t>
  </si>
  <si>
    <t>In the context of trademark assignments, what is the fee for the first trade mark when applying for the Registrar's approval under Section 41?</t>
  </si>
  <si>
    <t>As per the provided source content, specifically the fee schedule under the Trade Marks Rules, here is the information regarding the Registrar's approval under Section 41:
On an application for the approval of the Registrar under **Section 41**, the fee for the **first trade mark** is **2500.00**.
*   **Form:** TM-19
*   **Additional Fees:** For every additional mark of the same proprietor included in the same transfer, the fee is **500.00**.
**Source Citations:**
*   **Act/Rules:** Trade Marks Rules (implied by content and form nomenclature)
*   **Page Numbers:** Page 4 (Item 24 description and Form) and Page 5 (Fee amount).</t>
  </si>
  <si>
    <t>Based on the procedural rules for subsequent proprietorship, what are the financial implications for a proprietor who delays registering their acquisition of a single trademark for more than 12 months compared to registering within the first six months?</t>
  </si>
  <si>
    <t>The fee increases from Rs. 5000.00 (if made within six months) to Rs. 10,000.00 (if made after 12 months).</t>
  </si>
  <si>
    <t>Assignments and Transfers</t>
  </si>
  <si>
    <t>As a Senior Intellectual Property Attorney, I have reviewed the provided schedule of fees under the relevant procedural rules. Based on the source content, here are the financial implications regarding the registration of a subsequent proprietor for a single trademark under Section 45:
### **Comparison of Registration Fees (Single Trade Mark)**
According to the fee schedule for applications made under **Section 45** to register a subsequent proprietor in the case of an assignment or transfer of a **single trade mark**:
*   **Registration within six months:** If the application is made within six months from the date of acquisition of proprietorship, the fee is **5000.00**.
*   **Registration after 12 months:** If the application is made after 12 months from the date of acquisition of proprietorship, the fee increases to **10,000.00**.
### **Financial Implication of Delay**
A proprietor who delays registration for more than 12 months faces a financial penalty in the form of a **100% increase** in the base application fee. Specifically, the delay results in an additional cost of **5000.00** compared to filing within the initial six-month window.
### **Procedural Requirements**
For both scenarios, the application must be submitted using **Form TM-23 or TM-24**.
**Source Citations:**
*   **Trade Marks Act/Rules**, Page 6, Item No. 27.</t>
  </si>
  <si>
    <t>['6', '7']</t>
  </si>
  <si>
    <t>What is the prescribed fee for an application to register a registered user of a trademark for a single mark under Section 49?</t>
  </si>
  <si>
    <t>Rs. 5000.00</t>
  </si>
  <si>
    <t>As per the provided schedule of fees under the Trade Marks rules, here is the information regarding the application to register a registered user:
| No. | Description | Fee (Rs.) | Form |
| :--- | :--- | :--- | :--- |
| 32 | On application under section 49 to register a registered user of a registered trade mark in respect of goods or services within the specification thereof. | 5000.00 | TM-28 |
**Prescribed Fee:** 5000.00  
**Relevant Act/Section:** Section 49 of the Trade Marks Act  
**Source Page:** Page 8</t>
  </si>
  <si>
    <t>When a registered proprietor wishes to alter their address for service in India for multiple marks, how does the fee structure change for marks after the initial entry?</t>
  </si>
  <si>
    <t>The first entry costs Rs. 500.00, while every subsequent entry included in the same application costs Rs. 200.00.</t>
  </si>
  <si>
    <t>Administrative Updates</t>
  </si>
  <si>
    <t>Based on the provided source content from the Trade Mark Rules (referencing the Trade Marks Act), here is the fee structure for a registered proprietor wishing to alter their address for service in India for multiple marks:
According to **Item No. 41**, when an application is made to alter or substitute an entry of an address for service in India in the register (unless exempted under rule 96(3)), and the application includes more than one trade mark where the address in each case is the same and is altered/substituted in the same way, the fee structure is:
*   **For the first entry:** 500.00
*   **For every other entry included in the application:** 200.00
**Required Form:** TM-50
**Source:** trademark_rules-75-93, **Page 11 and Page 12**.
In summary, for marks after the initial entry, the fee decreases from 500.00 to **200.00 per entry**, provided the address and the manner of alteration remain identical across all marks in the application.</t>
  </si>
  <si>
    <t>['10', '11']</t>
  </si>
  <si>
    <t>Which form is designated for an application to strike out goods or services from the register under Section 58(1)(d)?</t>
  </si>
  <si>
    <t>Form TM-35 or TM-36</t>
  </si>
  <si>
    <t>Register Rectification</t>
  </si>
  <si>
    <t>As a Senior Intellectual Property Attorney, I have reviewed the provided Trade Marks Rules. Regarding your query about striking out goods or services from the register, here is the official designation:
According to the fee schedule, an application under **Section 58(1)(d)** to strike out goods or services from the register requires the following:
*   **Form Number:** **TM-35** OR **TM-36**
*   **Fee:** 200.00
**Source Citation:**
Trade Marks Rules, Page 12 (Item No. 42).</t>
  </si>
  <si>
    <t>['12']</t>
  </si>
  <si>
    <t>Under Section 60, what is the fee for an application for the conversion of specification of goods or services?</t>
  </si>
  <si>
    <t>Rs. 1000.00</t>
  </si>
  <si>
    <t>Specification Conversion</t>
  </si>
  <si>
    <t>As a Senior Intellectual Property Attorney, I have reviewed the provided source content regarding the schedule of fees.
According to the **Trade Marks Rules** (source: trademark_rules-75-93):
The fee for an application under **Section 60** for the **conversion of specification** is **1000.00**. This application must be filed using **Form TM-40**.
**Source Citations:**
*   **Act/Rules:** Trade Marks Rules (Item No. 45)
*   **Page Number:** Page 13</t>
  </si>
  <si>
    <t>['13']</t>
  </si>
  <si>
    <t>If a series trademark consists of five marks, what is the total renewal fee required for the entire series in a single class?</t>
  </si>
  <si>
    <t>Rs. 12,500.00 (Rs. 5000.00 for the first two marks and Rs. 2500.00 for each of the three additional marks).</t>
  </si>
  <si>
    <t>As a Senior Intellectual Property Attorney, I have evaluated your query based on the provided schedule of fees under the relevant statutes.
According to the provided source content for the **Trade Marks Act** (referenced via Section 25 and the associated Trademark Rules), the renewal fees for a series trademark are calculated as follows:
1.  **For the first two marks of the series** (in a single class): 5,000.00
2.  **For every additional mark of the series** (in the same class): 2,500.00 per mark
**Calculation for a series of five marks:**
*   Fee for the first 2 marks: 5,000.00
*   Fee for the remaining 3 marks (3 x 2,500.00): 7,500.00
*   **Total Renewal Fee:** **12,500.00**
This application must be filed using **Form TM-12**.
**Source Citations:**
*   **Act/Section:** Section 25 of the Trade Marks Act (as referenced in the fee schedule).
*   **Source Page:** trademark_rules-75-93 | PAGE 4 (Item No. 18).</t>
  </si>
  <si>
    <t>What is the fee for a request for the Registrar’s preliminary advice regarding the registrability of a trademark in one class under Section 133(1)?</t>
  </si>
  <si>
    <t>Administrative Requests</t>
  </si>
  <si>
    <t>As per the schedule of fees provided in the source content, here is the information regarding the request for the Registrar’s preliminary advice:
According to **Item No. 50** of the fee schedule, a request for the Registrar’s preliminary advice under **Section 133(1)** for a trade mark in respect of one class requires a fee of **1000.00**. The prescribed form for this request is **TM-55**.
**Source:** trademark_rules-75-93 | PAGE 14</t>
  </si>
  <si>
    <t>For the inspection of documents relating to a particular trade mark under Section 148(1), what is the hourly rate charged?</t>
  </si>
  <si>
    <t>Rs. 200.00 per hour or part thereof.</t>
  </si>
  <si>
    <t>Public Inspection</t>
  </si>
  <si>
    <t>According to the provided fee schedule in the source content, the details for inspecting documents are as follows:
For inspecting documents mentioned in **Section 148(1)** relating to any particular trade mark, the fee is **200.00** for every hour or part thereof.
**Source Citation:**
*   **Act/Rules:** Trade Mark Rules (Source: trademark_rules-75-93)
*   **Page Number:** 15
*   **Table Entry:** 60(a)</t>
  </si>
  <si>
    <t>What is the fee for filing an application for the expedited examination of a trademark registration under Rule 38(1)?</t>
  </si>
  <si>
    <t>Rs. 12,500.00</t>
  </si>
  <si>
    <t>Expedited Procedures</t>
  </si>
  <si>
    <t>As a Senior Intellectual Property Attorney, I have reviewed the provided source content regarding your inquiry.
According to **Rule 38(1)** of the trade mark rules, an applicant may request an expedited examination of a trade mark registration application using **Form TM-63**, provided they include a declaration stating the reasons for the request and pay the required fee (**trademark_rules, Page 19**).
Per the fee information provided in the specific form:
*   **Fee for expedited examination (Rule 38(1)):** Rs. 12,500
*   **Form:** TM-63
*   **Statute:** The Trade Marks Act, 1999 (**trademark_rules, Page 225**)
Additionally, **Rule 38(1)** specifies that the fee for this request is "five times the application fee" (**trademark_rules, Page 19**).</t>
  </si>
  <si>
    <t>['19', '225']</t>
  </si>
  <si>
    <t>When applying for trademark registration, what is the 'excess space fee' per character for descriptions that exceed 500 characters?</t>
  </si>
  <si>
    <t>Rs. 10.00 per character.</t>
  </si>
  <si>
    <t>Filing Specifications</t>
  </si>
  <si>
    <t>As a Senior Intellectual Property Attorney, I have reviewed the provided fee schedules from the Trade Marks Rules to address your query.
According to the schedule of fees provided in the source content:
**Excess Space Fee Details:**
*   **Description:** On an application under sub-rule 16 of rule 25 towards the inclusion of a specification of goods or services in excess of five hundred characters at the time of filing an application.
*   **Fee:** **10.00 per character**.
*   **Corresponding Form:** TM-61.
**Citations:**
*   **Act/Rules:** Trade Marks Rules (Entry No. 69).
*   **Page Number:** Page 16.</t>
  </si>
  <si>
    <t>Under what specific condition is a request for the correction of a clerical error under Section 18(4) exempt from the standard Rs. 500.00 fee?</t>
  </si>
  <si>
    <t>When the request is made as a result of an order of a public authority or in consequence of a statutory requirement as per law in India.</t>
  </si>
  <si>
    <t>As per the provided source content from the **Trade Mark Rules**, specifically Item No. 55 in the fee schedule on **Page 14**, a request for the correction of a clerical error or for an amendment under Section 18(4), 22, and 58 of the Trade Marks Act is exempt from the standard Rs. 500.00 fee under the following specific conditions:
*   Where the request is made as a result of an **order of a public authority**; or
*   In consequence of a **statutory requirement as per law in India**.
**Source Details:**
*   **Act/Rules:** Trade Mark Rules (referencing Trade Marks Act sections)
*   **Page Number:** 14
*   **Item Number:** 55
*   **Form Number:** TM-16</t>
  </si>
  <si>
    <t>What is the required fee for an application to restore the name of a person to the Register of Trade Marks Agents under Rule 159?</t>
  </si>
  <si>
    <t>Rs. 1000.00 plus the continuance fee (Rs. 1000.00).</t>
  </si>
  <si>
    <t>Trade Mark Agents</t>
  </si>
  <si>
    <t>According to the provided source content from the **Trade Marks Rules**, the fee for an application to restore the name of a person to the Register of Trade Marks Agents is as follows:
*   **Fee:** 1000.00 plus the continuance fee under entry no. 79 (which is 1000.00 per year).
*   **Form No:** TMA-2
*   **Rule Reference:** Rule 159
*   **Source Page:** Page 17 (Entry No. 80)</t>
  </si>
  <si>
    <t>Which form should be used for a request to divide a single trademark application under the proviso to Section 22?</t>
  </si>
  <si>
    <t>Form TM-53</t>
  </si>
  <si>
    <t>Application Division</t>
  </si>
  <si>
    <t>As per the provided source content, the details regarding your query are as follows:
For a request to divide an application or to divide a single application under the proviso to **Section 22**, the prescribed form is **TM-53**.
**Specific Citations:**
*   **Act:** Trade Mark Rules (implied by the source "trademark_rules-75-93" and Form "TM-53")
*   **Page Number:** Page 16
*   **Entry Number:** 68
*   **Fee:** 1000.00 plus appropriate class fee</t>
  </si>
  <si>
    <t>If an applicant seeks an expedited search and the issuance of a certificate under Rule 24(5), what is the prescribed statutory cost?</t>
  </si>
  <si>
    <t>Rs. 25,000.00</t>
  </si>
  <si>
    <t>As a Senior Intellectual Property Attorney, I have reviewed the provided source content from the **Designs Rules, 2001** and the associated fee schedules.
Based on the provided text, I cannot find the answer to your query regarding the prescribed statutory cost for an expedited search and the issuance of a certificate under Rule 24(5) in these specific rules. The provided **First Schedule (Fees)** on pages 14 and 15 does not list a fee for "Rule 24(5)" or for "expedited search" services.</t>
  </si>
  <si>
    <t>['14', '15', '16']</t>
  </si>
  <si>
    <t>How does the fee for registering a collective mark from a convention country for multiple classes differ from a standard single-class domestic collective mark application?</t>
  </si>
  <si>
    <t>A single-class collective mark application (TM-3) is a flat Rs. 10,000.00, while a multi-class convention application (TM-67) costs Rs. 10,000.00 for each class.</t>
  </si>
  <si>
    <t>Collective Marks</t>
  </si>
  <si>
    <t>Based on the provided fee schedule from the Trademark Rules, the comparison is as follows:
1.  **Standard Single-Class Domestic Collective Mark Application**:
    As per **Entry No. 8 (Page 2)**, an application under **Section 63(1)** to register a collective mark for a specification of goods or services included in a class requires a fee of **Rs. 10,000.00**. The corresponding form is **TM-3**.
2.  **Convention Country Multi-Class Collective Mark Application**:
    As per **Entry No. 84 (Page 17)**, a single application under **Section 18(2)** for the registration of a collective mark for different classes of goods or services from a convention country requires a fee of **Rs. 10,000.00 for each class**. The corresponding form is **TM-67**.
**Comparison Summary**:
While the base fee for a single class is identical (**Rs. 10,000.00**) for both domestic and convention country applications, the multi-class application for a convention country is cumulative, charging the full **Rs. 10,000.00** for every separate class included in the application.
*Source: trademark_rules-75-93 (Pages 2 and 17)*</t>
  </si>
  <si>
    <t>['2', '17']</t>
  </si>
  <si>
    <t>What is the fee for a request for search and issuance of a certificate pursuant to Section 20(2)(ii) of the Companies Act, 1956?</t>
  </si>
  <si>
    <t>Inter-departmental Requests</t>
  </si>
  <si>
    <t>As a Senior Intellectual Property Attorney, I have reviewed the provided source content regarding your query.
According to the fee schedule in the **Trade Mark Rules**, the details for your request are as follows:
*   **Service:** On request for search and issuance of a certificate pursuant to clause (ii) of sub-section (2) of section 20 of the Companies Act, 1956.
*   **Fee:** 5000.00
*   **Form:** TM-75
*   **Entry No:** 87
**Source:** Trade Mark Rules, Page 18.</t>
  </si>
  <si>
    <t>Regarding invention filings, what is the prescribed e-filing fee for a natural person or startup when filing a patent application under Section 7?</t>
  </si>
  <si>
    <t>The fee is 1600 Rupees. In the case of multiple priorities, it is a multiple of 1600.</t>
  </si>
  <si>
    <t>As a Senior Intellectual Property Attorney, I have reviewed the fee schedules provided in the source content.
Under **The Patents Rules 2003**, the prescribed e-filing fee for a natural person or startup filing a patent application under **Section 7** (Entry 1) is as follows:
*   **Basic Fee:** 1,600 Rupees. 
*   **Multiple Priorities:** If the application involves multiple priorities, the fee is a multiple of 1,600 for every priority.
**Additional Fees (if applicable):**
*   **Specifications:** 160 Rupees for each sheet of specification in addition to 30.
*   **Claims:** 320 Rupees for each claim in addition to 10.
*   **Sequence Listings:** 160 Rupees for each page of sequence listing of nucleotides and/or amino acid sequences, subject to a maximum of 24,000 Rupees.
Source: **The Patents Rules 2003, Page 1**.</t>
  </si>
  <si>
    <t>In industrial property procedures, how many claims are permitted in a standard complete specification before an additional per-claim surcharge is triggered?</t>
  </si>
  <si>
    <t>Up to 10 claims are included; for each claim in addition to 10, a surcharge applies.</t>
  </si>
  <si>
    <t>Specifications</t>
  </si>
  <si>
    <t>As a Senior Intellectual Property Attorney, I provide the following response based on the provided tables from **The Patents Rules 2003**:
In a standard patent application or complete specification, up to **10 claims** are permitted before an additional per-claim surcharge is triggered.
According to the fee schedule, a surcharge is applied for "each claim in addition to 10" for the following filings:
*   **Entry 1:** On application for a patent under sections 7, 54, or 135 and rule 20(1) accompanied by a provisional or complete specification.
*   **Entry 2:** On filing a complete specification after a provisional specification.
**Source Citations:**
*   **Act/Rules:** The Patents Rules 2003 (Table of Details of the Forms required to be filed).
*   **Page Number:** Page 1.</t>
  </si>
  <si>
    <t>When a sequence listing of nucleotides or amino acids is filed via e-filing by a small entity, what is the maximum fee cap for these specific pages?</t>
  </si>
  <si>
    <t>The fee is 160 Rupees per page, subject to a maximum of 24,000 Rupees.</t>
  </si>
  <si>
    <t>Biological Sequences</t>
  </si>
  <si>
    <t>As a Senior Intellectual Property Attorney, I provide the following information based on the provided fee schedules under **The Patents Rules 2003**:
When a sequence listing of nucleotides and/or amino acid sequences is filed via **e-filing** by a **small entity** (which falls under the same fee category as natural persons, startups, and educational institutions), the fee structure is as follows:
*   **Fee per page:** 160 Rupees.
*   **Maximum Fee Cap:** **24,000 Rupees**.
This cap applies both at the time of the initial patent application under sections 7, 54, or 135 (Entry 1) and upon filing a complete specification after a provisional specification (Entry 2). 
It should be noted that for physical filings of these specific sequence listing pages, the provided tables indicate that such filings are "Not Allowed."
**Source Citations:**
*   **The Patents Rules 2003**, Page 1 (Entry 1, sub-point iii).
*   **The Patents Rules 2003**, Page 2 (Continuation of Entry 2, sub-point iii).</t>
  </si>
  <si>
    <t>Which specific Form must be submitted to file a statement and undertaking under Section 8 regarding foreign applications?</t>
  </si>
  <si>
    <t>Form 3.</t>
  </si>
  <si>
    <t>Procedural Forms</t>
  </si>
  <si>
    <t>As a Senior Intellectual Property Attorney, I have reviewed the provided documentation regarding the requirements under The Patents Rules, 2003.
To file a statement and undertaking under Section 8 regarding foreign applications, the applicant must use the following form:
*   **Form:** **Form 3**
*   **Act/Rules:** The Patents Rules, 2003; Rule 12(1)
*   **Page References:** Page 16, Page 150, and Page 152
According to **Rule 12(1)**, "The statement and undertaking required to be filed by an applicant for a patent under sub-section (1) of section 8 shall be made in **Form 3**." Per **Rule 12(1A)**, this must be filed within six months from the date of filing the application (The Patents Rules, 2003, Page 16).</t>
  </si>
  <si>
    <t>['16', '150', '152']</t>
  </si>
  <si>
    <t>If an applicant seeks an extension of time under Rule 24C(11) via e-filing as a natural person, what is the monthly cost incurred?</t>
  </si>
  <si>
    <t>2000 Rupees per month.</t>
  </si>
  <si>
    <t>Extensions</t>
  </si>
  <si>
    <t>As a Senior Intellectual Property Attorney, I provide the following information based on the provided tables for **The Patents Rules 2003**:
According to **Entry 4(iii)** of the fee schedule, the cost for a request for an extension of time under **sub-rule (11) of rule 24C** is calculated on a per-month basis. 
For an applicant filing as a **natural person** via **e-filing**, the monthly cost incurred is **Rupees 2000**.
**Authority and Source:**
*   **Act/Rules:** The Patents Rules 2003
*   **Form Required:** Form 4
*   **Page Number:** Page 2</t>
  </si>
  <si>
    <t>Under the rules for opposing the grant of a patent, what is the financial implication of filing a representation under Section 25(1) compared to a notice of opposition under Section 25(2)?</t>
  </si>
  <si>
    <t>Filing a representation under Section 25(1) (Form 7A) requires 'No fee,' whereas a notice of opposition under Section 25(2) (Form 7) requires a fee (e.g., 2400 Rupees for a natural person).</t>
  </si>
  <si>
    <t>Oppositions</t>
  </si>
  <si>
    <t>Based on the provided fee schedules under **The Patents Rules 2003**, the financial implications of filing under Section 25(1) versus Section 25(2) are as follows:
### 1. Official Filing Fees (The Patents Rules 2003, Page 2)
There is a significant difference in the official fees required at the time of filing:
*   **Representation Opposing Grant of Patent (Section 25(1)):**
    *   **Relevant Form:** Form 7A.
    *   **Fee:** There is **no fee** for filing a representation under this section, regardless of the type of applicant or the method of filing (e-filing or physical filing).
*   **Notice of Opposition to Grant of Patent (Section 25(2)):**
    *   **Relevant Form:** Form 7.
    *   **E-filing Fee:** 
        *   ₹2,400 for Natural person(s), Startup(s), Small entit(y)/(ies), or educational institution(s).
        *   ₹12,000 for Others, alone or with natural person(s)/Startup(s)/Small entit(y)/(ies)/educational institution(s).
    *   **Physical Filing Fee:**
        *   ₹2,600 for Natural person(s), Startup(s), Small entit(y)/(ies), or educational institution(s).
        *   ₹13,200 for Others, alone or with natural person(s)/Startup(s)/Small entit(y)/(ies)/educational institution(s).
### 2. Potential Costs to be Awarded (The Patents Rules 2003, Page 13)
Under **The Fourth Schedule**, which dictates costs to be awarded in proceedings, Section 25(1) is not listed, whereas Section 25(2) is subject to specific cost structures:
*   **Notice of Opposition under Section 25:**
    *   For natural person(s): ₹2,400.
    *   For small entities: ₹6,000.
    *   For others: ₹12,000.
### 3. Additional Procedural Costs (The Patents Rules 2003, Page 14)
If the opposition proceeds to a hearing or involves extensive documentation, further costs may apply to the proceedings:
*   **Written statement or reply statement:** ₹4,000 to ₹5,000.
*   **Every day or part day of hearing before the Controller:** ₹4,000 to ₹5,000.
*   **Each document of publication produced:** ₹1,600 to ₹2,000.
**Summary Comparison:** Filing a representation under **Section 25(1)** is financially more favorable as it attracts **no official filing fees**, whereas a notice of opposition under **Section 25(2)** requires a minimum filing fee of ₹2,400 (up to ₹13,200) and exposes the party to the schedule of awarded costs.</t>
  </si>
  <si>
    <t>['2', '13']</t>
  </si>
  <si>
    <t>What is the consequence if a request for examination is not filed under Section 11B, but an applicant later decides to request an expedited examination under Rule 24C?</t>
  </si>
  <si>
    <t>The applicant must file Form 18A and pay a fee (8000 Rupees for a natural person or 60000 Rupees for others via e-filing). If a standard request (Rule 24B) was already filed, they can convert it to expedited via Form 18A for a fee (4000 Rupees for natural persons).</t>
  </si>
  <si>
    <t>Based on the **Patents Rules, 2003**, the consequences and procedures regarding requests for examination and expedited examination are as follows:
### 1. Direct Filing for Expedited Examination
If a request for examination under Section 11B has not yet been filed, an applicant may directly file a request for expedited examination in **Form 18A**. According to **Rule 24C(1)**, this must be done within the period prescribed in Rule 24B (ordinarily **48 months** from the date of priority or filing) and must be submitted via electronic transmission (**Patents Rules, 2003, Page 45**).
### 2. Conversion of a Pending Request
If the applicant has already filed a standard request for examination under Rule 24B, they are permitted to convert that existing request into a request for expedited examination. This is done by paying the relevant fees and submitting the requisite documents required under Rule 24C (**Rule 24C(2), Patents Rules, 2003, Page 45**).
### 3. Consequence of Non-Compliance with Expedited Requirements
If a request for expedited examination is filed but fails to comply with the specific requirements of Rule 24C (such as the eligibility grounds listed in sub-rule (1)(a) through (j)), the consequence is that:
*   The request shall be processed in accordance with the provisions for a standard examination under **Rule 24B**.
*   The applicant will be formally intimated of this change.
*   The request will be deemed to have been filed on the date on which the request for expedited examination was originally filed (**Rule 24C(4), Patents Rules, 2003, Page 45**).
### 4. Mandatory Publication
If a request for expedited examination is made and the application has not yet been published (and no request for publication under Rule 24A has been filed), the request for expedited examination **must be accompanied** by a request for publication under Rule 24A (**Rule 24C(3), Patents Rules, 2003, Page 45**).
### 5. Standard Timelines (Rule 24B)
For context, the standard period for filing a request for examination under Section 11B is **forty-eight months** from the date of priority or the date of filing, whichever is earlier (**Rule 24B(1)(i), Patents Rules, 2003, Page 43**).</t>
  </si>
  <si>
    <t>['43', '45']</t>
  </si>
  <si>
    <t>For the maintenance of a patent, when does the first renewal fee (for the 3rd year) need to be paid?</t>
  </si>
  <si>
    <t>Before the expiration of the 2nd year from the date of the patent.</t>
  </si>
  <si>
    <t>Renewals</t>
  </si>
  <si>
    <t>According to the **Patents Rules, 2003**, specifically under **Rule 80**, the following requirements apply to the payment of renewal fees:
To keep a patent in force, the renewal fees for the third year (and succeeding years) must be paid at the **expiration of the second year** from the date of the patent. The rules stipulate that these fees shall be remitted to the patent office **before the expiration** of the second or the succeeding year.
**Key Provisions:**
*   **Extension of Time:** Under Rule 80(1A), the period for payment may be extended by a maximum of **six months** if a request is made using **Form 4** along with the fee specified in the First Schedule.
*   **Advance Payment:** Per Rule 80(3), annual renewal fees for two or more years may be paid in advance.
*   **Required Information:** When paying the fee, the patent number, date of the patent, and the specific year for which the fee is being paid must be quoted (Rule 80(2)).
**Source:**
*   **Patents Rules, 2003**, Page 82.</t>
  </si>
  <si>
    <t>['82']</t>
  </si>
  <si>
    <t>Which Form is utilized to request the restoration of a patent that has lapsed under Section 60?</t>
  </si>
  <si>
    <t>Form 15.</t>
  </si>
  <si>
    <t>According to the provided source content, the request for the restoration of a patent that has lapsed under **Section 60** is filed using **Form 15**.
**Details:**
*   **Form Number:** Form 15
*   **Relevant Section/Rule:** Section 60 and Rule 84
*   **Title:** Application for restoration of patents
*   **Statutory Reference:** Patents Act 1970 / The Patents Rules 2003
*   **Page Numbers:** 151 and 174</t>
  </si>
  <si>
    <t>['150', '152', '174']</t>
  </si>
  <si>
    <t>In the context of changing legal records, what is the prescribed fee for a large entity to amend an application specifically to change a name, address, or nationality via e-filing?</t>
  </si>
  <si>
    <t>1600 Rupees.</t>
  </si>
  <si>
    <t>Amendments</t>
  </si>
  <si>
    <t>As a Senior Intellectual Property Attorney, I have reviewed the provided tables from **The Patents Rules 2003** (pertaining to the **Patents Act 1970**) to address your query regarding the amendment of legal records.
According to the fee schedule provided in the source content, the prescribed fee for a large entity (categorized as "Other(s), alone or with natural person(s) or Startup(s) or Small entit(y)/(ies) or educational institution(s)") to amend an application specifically for changing a name, address, or nationality via e-filing is as follows:
*   **Matter:** On application for amendment of application for patent or complete specification or other related documents under section 57, specifically where the amendment is for changing name or address or nationality or address for service.
*   **Relevant Form:** Form 13
*   **Fee for E-filing (Large Entity/Others):** **1600 Rupees**
**Source Citation:**
*   **The Patents Rules 2003**, Table of Fees, Entry 20(iii), **Page 4**.</t>
  </si>
  <si>
    <t>['1', '4']</t>
  </si>
  <si>
    <t>If a person is entitled to a patent by way of a mortgage or license, which Form and associated fee (for a natural person e-filing) are required to register this interest?</t>
  </si>
  <si>
    <t>Form 16 must be filed with a fee of 1600 Rupees in respect of each patent.</t>
  </si>
  <si>
    <t>Register Entries</t>
  </si>
  <si>
    <t>As a Senior Intellectual Property Attorney, I have reviewed the provided fee schedules and form lists under the Patents Rules 2003.
To register an interest in a patent by way of a mortgage or license, the following requirements apply:
### **1. Required Form**
An application must be made using **Form 16**, which is titled "Application for registration of a title/interest in a patent or share in it or registration of any document purporting to affect proprietorship of the patent." This form is filed pursuant to **Sections 69(1) or 69(2)** of the Patents Act 1970 and **Rules 90(1) and 90(2)** of the Patents Rules 2003.
### **2. Associated Fee**
According to the fee schedule, the cost for this application for a **natural person** (Category 1) using **e-filing** is as follows:
*   **Fee:** **₹1,600** (In respect of each patent).
***
**Sources:**
*   **Form Identification:** Tables_patentrules, Page 9 (Entry 16).
*   **Fee Specification:** Tables_patentrules, Page 5 (Entry 25).
*   **Relevant Act:** Patents Act 1970 (referenced via Section 69 on Pages 5 and 9).</t>
  </si>
  <si>
    <t>['5', '9']</t>
  </si>
  <si>
    <t>What is the yearly deadline and fee for a registered agent to maintain their name on the register after the first year of registration?</t>
  </si>
  <si>
    <t>The fee is 800 Rupees (e-filing) or 880 Rupees (physical filing), to be paid on the 1st of April each year.</t>
  </si>
  <si>
    <t>As a Senior Intellectual Property Attorney, I provide the following information based on the provided source content from **The Patents Rules, 2003**:
### Yearly Deadline
According to **The Patents Rules, 2003**, the fee for the continuance of a name in the register of patent agents for every year excluding the first year must be paid on the **1st of April each year** (Page 148). 
Rule 115 specifies that maintaining a person's name in the register is subject to the payment of fees as detailed in the First Schedule (Page 117). Furthermore, under Rule 116, the Controller may remove a name from the register if the agent defaults on this payment by more than three months after it is due (Page 118).
### Fees for Maintenance (After the First Year)
Per the fee table provided in the First Schedule (Entry number 34), the costs for maintaining a name on the register of patent agents are as follows:
| Matter | E-filing Fee | Physical Filing Fee |
| :--- | :--- | :--- |
| **Continuance of name (every year excluding the 1st year)** | 800 | 880 |
*(Note: These fees apply to natural persons/startups/small entities/educational institutions; the "Others" category is marked as "Not applicable" for patent agent registration fees.)*
**Source Citations:**
*   **The Patents Rules, 2003**, Rule 115, Page 117.
*   **The Patents Rules, 2003**, Rule 116, Page 118.
*   **The Patents Rules, 2003**, First Schedule (Fee Table), Entry 34(ii), Page 148.</t>
  </si>
  <si>
    <t>['117', '147']</t>
  </si>
  <si>
    <t>Under Section 39, what procedural step must an applicant take if they wish to file a patent application outside of India for an invention made in India?</t>
  </si>
  <si>
    <t>They must file Form 25 to request permission, paying a fee (1600 Rupees for natural persons or 8000 Rupees for others via e-filing).</t>
  </si>
  <si>
    <t>Foreign Filing</t>
  </si>
  <si>
    <t>As a Senior Intellectual Property Attorney, I provide the following guidance based on the provided text of the **Patents Rules, 2003** regarding Section 39 of the **Patents Act, 1970**:
**Procedural Requirements for Filing Outside India**
Under Rule 71, any applicant seeking permission to file a patent application outside of India for an invention made in India must take the following procedural steps:
1.  **Submission of Request:** The request for permission must be formally made using **Form 25** (Patents Rules, 2003, Rule 71(1), Page 74; Form 25 is further referenced on Page 187).
2.  **Controller’s Timeline:** The Controller is required to dispose of this request within **twenty-one days** from the date of filing (Patents Rules, 2003, Rule 71(2), Page 74).
3.  **Special Exceptions (Defence/Atomic Energy):** If the invention relates to defence or atomic energy, the twenty-one-day period for disposal begins only from the date the Controller receives consent from the Central Government (Patents Rules, 2003, Rule 71(2), Page 74).
**Sources:**
*   **The Patents Rules, 2003**, Page 74 (Rule 71).
*   **The Patents Rules, 2003**, Page 187 (Form 25).</t>
  </si>
  <si>
    <t>['74', '187']</t>
  </si>
  <si>
    <t>What specific form is mandated for the 'Statement regarding the working of the Patented invention on commercial scale in India' under Section 146(2)?</t>
  </si>
  <si>
    <t>Form 27.</t>
  </si>
  <si>
    <t>Working Statements</t>
  </si>
  <si>
    <t>As a Senior Intellectual Property Attorney, I provide the following response based strictly on the provided source content:
The specific form mandated for the 'Statement regarding the working of the Patented invention on commercial scale in India' under Section 146(2) of the **Patents Act 1970** is **Form 27** (**Patents Rules 2003, Rule 131**; Page 134, 189).
Detailed requirements for this filing include:
*   **Submission Authority:** The statement must be furnished by every patentee and every licensee and shall be duly verified by the patentee, licensee, or their authorized agent (**Rule 131(1)**; Page 134).
*   **Timeline:** Statements must be furnished once for every financial year, beginning from the financial year immediately following the year in which the patent was granted. These must be submitted within six months from the expiry of each such financial year (**Rule 131(2)**; Page 134).
*   **Fees:** According to the "Verbatim Text" of Form 27, there is **No Fee** associated with this filing (**Page 189**).
*   **Consolidation:** One form may be filed for multiple related patents if the revenue/value accrued cannot be derived separately and all patents are granted to the same patentee(s) (**Page 189**).</t>
  </si>
  <si>
    <t>What happens if a practitioner needs to file a document with the Controller but there is no specific statutory Form prescribed for that particular action?</t>
  </si>
  <si>
    <t>According to Rule 8(2), the applicant should use Form 30, which is the 'Miscellaneous form'.</t>
  </si>
  <si>
    <t>Procedural Matrix</t>
  </si>
  <si>
    <t>Based on the provided source content from the **Patents Act, 1970** and **The Patents Rules, 2003**, if a practitioner needs to make a request or file a document for which no specific statutory form is prescribed, the following procedure applies:
**Form 30** is utilized for miscellaneous patent-related requests when no other specific form is prescribed by the rules. This form requires the applicant, patentee, or other party to provide the following details:
*   **Name and Address:** Full name and complete address (including PIN, State, email, and telephone number).
*   **Identification:** The relevant Application Number or Patent Number.
*   **Legal Basis:** The relevant section or rules under which the request is being made.
*   **Context:** The specific purpose and details of the request.
*   **Authorization:** Signature of the applicant or authorized person, including their designation.
**Source Citation:**
*   **Patents Act, 1970 and Patents Rules, 2003**: Form 30 (Page 192).</t>
  </si>
  <si>
    <t>In legal proceedings before the Controller, what is the daily cost for a hearing if the party is a person other than a natural person (excluding small entities)?</t>
  </si>
  <si>
    <t>5000 Rupees.</t>
  </si>
  <si>
    <t>Legal Costs</t>
  </si>
  <si>
    <t>As a Senior Intellectual Property Attorney, I have reviewed the provided source content regarding the costs associated with legal proceedings before the Controller.
According to **The Fourth Schedule** under the **Patents Act 1970** (as detailed in the provided rules), the cost to be awarded for a hearing is as follows:
*   **Matter:** For every day or part day of hearing before the Controller (Item No. 9).
*   **Amount for a person other than a natural person (excluding small entities):** 5,000 rupees.
**Source Reference:**
*   **Act:** Patents Act 1970 (The Fourth Schedule)
*   **Page Numbers:** 13 (for column definitions) and 14 (for specific item cost).</t>
  </si>
  <si>
    <t>Under the Fourth Schedule, what is the fee for a small entity to file a notice of opposition under Section 25?</t>
  </si>
  <si>
    <t>6000 Rupees.</t>
  </si>
  <si>
    <t>As a Senior Intellectual Property Attorney, I have reviewed the provided source content regarding your inquiry.
According to **THE FOURTH SCHEDULE** of the Patent Rules, the fee for a "person other than natural person(s) either alone or jointly with natural person(s) - For small entity" to file a **notice of opposition under section 25** is **6,000 rupees**.
**Source:** tables_patentrules | Page 13</t>
  </si>
  <si>
    <t>According to the Fifth Schedule, what is the 'Search fee' for a natural person under Rule 16.1(a)?</t>
  </si>
  <si>
    <t>2500 Rupees.</t>
  </si>
  <si>
    <t>As per the Fifth Schedule of the **Patents Rules, 2003**, the 'Search fee' under Rule 16.1(a) for a natural person is **₹2,500** (Two Thousand Five Hundred Rupees).
**Source:**
*   Patents Rules, 2003, The Fifth Schedule, Sl. No. 1 (Page 15).</t>
  </si>
  <si>
    <t>What are the financial implications for a small entity regarding 'Late furnishing fees' for sequence listings or other documents compared to a natural person under the Treaty regulations?</t>
  </si>
  <si>
    <t>The fee for both a natural person and a small entity (falling under 'other than natural person jointly with natural person') appears to be 1000 Rupees for the natural person and 4000 Rupees for others/small entities.</t>
  </si>
  <si>
    <t>Based on the provided source content, the financial implications regarding "Late furnishing fees" are detailed in **The Fifth Schedule** of the **Patents Rules, 2003**.
According to the table provided on **Page 15** (Sl. No. 9), the fees for late furnishing under Rule 13ter.1(c), 13ter.2, 12.3(e), and 12.4(e) are as follows:
*   **Natural Person:** ₹1,000
*   **Small Entity / Other than natural person:** The source content categorizes all non-natural persons (including small entities) under the column "Other than natural person either alone or jointly with natural person," for which the fee is **₹4,000**.
Therefore, a small entity is required to pay **₹4,000**, which is four times the amount prescribed for a natural person.</t>
  </si>
  <si>
    <t>If an applicant decides to withdraw their patent application, what is the required form and the associated fee for this withdrawal?</t>
  </si>
  <si>
    <t>The applicant must file Form 29; there is 'No Fee' associated with this application.</t>
  </si>
  <si>
    <t>Withdrawal</t>
  </si>
  <si>
    <t>According to the Patents Rules 2003, if an applicant decides to withdraw their patent application under Section 11B(4) and Rules 7(4A), 24C(5), and 26, the required form and fee details are as follows:
*   **Form Required:** Form 29, titled "Request for withdrawal of patent application" (Page 9, 12).
*   **Associated Fees:** There is **No Fee** required for filing this application (Page 3).
According to the fee table provided on Page 3 (Item 13), the "No Fee" status applies to all categories of applicants, including natural persons, startups, small entities, educational institutions, and others, regardless of whether the filing is done electronically or physically.</t>
  </si>
  <si>
    <t>['3', '9', '12']</t>
  </si>
</sst>
</file>

<file path=xl/styles.xml><?xml version="1.0" encoding="utf-8"?>
<styleSheet xmlns="http://schemas.openxmlformats.org/spreadsheetml/2006/main" xmlns:x14ac="http://schemas.microsoft.com/office/spreadsheetml/2009/9/ac" xmlns:mc="http://schemas.openxmlformats.org/markup-compatibility/2006">
  <numFmts count="2">
    <numFmt numFmtId="164" formatCode="m, d"/>
    <numFmt numFmtId="165" formatCode="m, d, yy"/>
  </numFmts>
  <fonts count="4">
    <font>
      <sz val="10.0"/>
      <color rgb="FF000000"/>
      <name val="Arial"/>
      <scheme val="minor"/>
    </font>
    <font>
      <b/>
      <color theme="1"/>
      <name val="Arial"/>
      <scheme val="minor"/>
    </font>
    <font>
      <b/>
      <color theme="1"/>
      <name val="Arial"/>
    </font>
    <font>
      <color theme="1"/>
      <name val="Arial"/>
      <scheme val="minor"/>
    </font>
  </fonts>
  <fills count="2">
    <fill>
      <patternFill patternType="none"/>
    </fill>
    <fill>
      <patternFill patternType="lightGray"/>
    </fill>
  </fills>
  <borders count="1">
    <border/>
  </borders>
  <cellStyleXfs count="1">
    <xf borderId="0" fillId="0" fontId="0" numFmtId="0" applyAlignment="1" applyFont="1"/>
  </cellStyleXfs>
  <cellXfs count="8">
    <xf borderId="0" fillId="0" fontId="0" numFmtId="0" xfId="0" applyAlignment="1" applyFont="1">
      <alignment readingOrder="0" shrinkToFit="0" vertical="bottom" wrapText="0"/>
    </xf>
    <xf borderId="0" fillId="0" fontId="1" numFmtId="0" xfId="0" applyAlignment="1" applyFont="1">
      <alignment readingOrder="0"/>
    </xf>
    <xf borderId="0" fillId="0" fontId="1" numFmtId="0" xfId="0" applyFont="1"/>
    <xf borderId="0" fillId="0" fontId="2" numFmtId="0" xfId="0" applyAlignment="1" applyFont="1">
      <alignment vertical="bottom"/>
    </xf>
    <xf borderId="0" fillId="0" fontId="3" numFmtId="0" xfId="0" applyAlignment="1" applyFont="1">
      <alignment readingOrder="0"/>
    </xf>
    <xf borderId="0" fillId="0" fontId="3" numFmtId="0" xfId="0" applyFont="1"/>
    <xf borderId="0" fillId="0" fontId="3" numFmtId="164" xfId="0" applyAlignment="1" applyFont="1" applyNumberFormat="1">
      <alignment readingOrder="0"/>
    </xf>
    <xf borderId="0" fillId="0" fontId="3" numFmtId="165" xfId="0" applyAlignment="1" applyFont="1" applyNumberForma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44.0"/>
    <col customWidth="1" min="3" max="3" width="16.75"/>
    <col customWidth="1" min="7" max="7" width="57.5"/>
  </cols>
  <sheetData>
    <row r="1">
      <c r="A1" s="1" t="s">
        <v>0</v>
      </c>
      <c r="B1" s="1" t="s">
        <v>1</v>
      </c>
      <c r="C1" s="1" t="s">
        <v>2</v>
      </c>
      <c r="D1" s="1" t="s">
        <v>3</v>
      </c>
      <c r="E1" s="1" t="s">
        <v>4</v>
      </c>
      <c r="F1" s="1" t="s">
        <v>5</v>
      </c>
      <c r="G1" s="1" t="s">
        <v>6</v>
      </c>
      <c r="H1" s="1" t="s">
        <v>7</v>
      </c>
      <c r="I1" s="1" t="s">
        <v>8</v>
      </c>
      <c r="J1" s="1" t="s">
        <v>9</v>
      </c>
      <c r="K1" s="1" t="s">
        <v>10</v>
      </c>
      <c r="L1" s="2"/>
      <c r="M1" s="2"/>
      <c r="N1" s="3" t="s">
        <v>11</v>
      </c>
      <c r="O1" s="3"/>
      <c r="P1" s="3"/>
      <c r="Q1" s="3"/>
      <c r="R1" s="3" t="s">
        <v>12</v>
      </c>
      <c r="S1" s="3"/>
      <c r="T1" s="3"/>
      <c r="U1" s="3"/>
      <c r="V1" s="3" t="s">
        <v>13</v>
      </c>
      <c r="W1" s="2"/>
      <c r="X1" s="2"/>
      <c r="Y1" s="2"/>
      <c r="Z1" s="2"/>
      <c r="AA1" s="2"/>
      <c r="AB1" s="2"/>
    </row>
    <row r="2">
      <c r="A2" s="4" t="s">
        <v>14</v>
      </c>
      <c r="B2" s="4" t="s">
        <v>15</v>
      </c>
      <c r="C2" s="4" t="s">
        <v>16</v>
      </c>
      <c r="D2" s="4">
        <v>14.0</v>
      </c>
      <c r="E2" s="4" t="s">
        <v>17</v>
      </c>
      <c r="F2" s="4" t="s">
        <v>18</v>
      </c>
      <c r="G2" s="4" t="s">
        <v>19</v>
      </c>
      <c r="H2" s="4" t="s">
        <v>16</v>
      </c>
      <c r="I2" s="4" t="s">
        <v>20</v>
      </c>
      <c r="J2" s="4">
        <v>100.0</v>
      </c>
      <c r="K2" s="4" t="s">
        <v>21</v>
      </c>
      <c r="M2" s="4" t="s">
        <v>21</v>
      </c>
      <c r="N2" s="4" t="s">
        <v>22</v>
      </c>
      <c r="O2" s="4" t="s">
        <v>23</v>
      </c>
      <c r="Q2" s="4" t="s">
        <v>21</v>
      </c>
      <c r="R2" s="4" t="s">
        <v>22</v>
      </c>
      <c r="S2" s="4" t="s">
        <v>23</v>
      </c>
      <c r="U2" s="4" t="s">
        <v>21</v>
      </c>
      <c r="V2" s="4" t="s">
        <v>22</v>
      </c>
      <c r="W2" s="4" t="s">
        <v>23</v>
      </c>
      <c r="Y2" s="5" t="str">
        <f t="shared" ref="Y2:Y110" si="1">SUBSTITUTE(SUBSTITUTE(SUBSTITUTE(I2, "[", ""), "]", ""), "'", "")</f>
        <v>14</v>
      </c>
      <c r="AA2" s="5">
        <f t="shared" ref="AA2:AA101" si="2">IF(OR(
    ISNUMBER(SEARCH(D2, I2)),
    ISNUMBER(SEARCH(D2-1, I2)),
    ISNUMBER(SEARCH(D2+1, I2))
), 1, 0)</f>
        <v>1</v>
      </c>
    </row>
    <row r="3">
      <c r="A3" s="4" t="s">
        <v>24</v>
      </c>
      <c r="B3" s="4" t="s">
        <v>25</v>
      </c>
      <c r="C3" s="4" t="s">
        <v>16</v>
      </c>
      <c r="D3" s="4">
        <v>39.0</v>
      </c>
      <c r="E3" s="4" t="s">
        <v>26</v>
      </c>
      <c r="F3" s="4" t="s">
        <v>18</v>
      </c>
      <c r="G3" s="4" t="s">
        <v>27</v>
      </c>
      <c r="H3" s="4" t="s">
        <v>16</v>
      </c>
      <c r="I3" s="4" t="s">
        <v>28</v>
      </c>
      <c r="J3" s="4">
        <v>100.0</v>
      </c>
      <c r="K3" s="4" t="s">
        <v>21</v>
      </c>
      <c r="M3" s="5">
        <f>COUNTIF(J2:J101, "&gt;=80")</f>
        <v>90</v>
      </c>
      <c r="N3" s="4">
        <v>6.0</v>
      </c>
      <c r="O3" s="5">
        <f>COUNTIF(J2:J101, "&lt;40")</f>
        <v>4</v>
      </c>
      <c r="Q3" s="5">
        <f>COUNTIFS(F:F, "Direct", K:K, "High")</f>
        <v>67</v>
      </c>
      <c r="R3" s="5">
        <f>COUNTIFS(F:F, "Direct", K:K, "Medium")</f>
        <v>4</v>
      </c>
      <c r="S3" s="5">
        <f>COUNTIFS(F:F, "Direct", K:K, "Low")</f>
        <v>3</v>
      </c>
      <c r="U3" s="5">
        <f>COUNTIFS(F:F, "Inferential", K:K, "High")</f>
        <v>23</v>
      </c>
      <c r="V3" s="5">
        <f>COUNTIFS(F:F, "Inferential", K:K, "Medium")</f>
        <v>2</v>
      </c>
      <c r="W3" s="5">
        <f>COUNTIFS(F:F, "Inferential", K:K, "Low")</f>
        <v>1</v>
      </c>
      <c r="Y3" s="5" t="str">
        <f t="shared" si="1"/>
        <v>39</v>
      </c>
      <c r="AA3" s="5">
        <f t="shared" si="2"/>
        <v>1</v>
      </c>
    </row>
    <row r="4">
      <c r="A4" s="4" t="s">
        <v>29</v>
      </c>
      <c r="B4" s="4" t="s">
        <v>30</v>
      </c>
      <c r="C4" s="4" t="s">
        <v>16</v>
      </c>
      <c r="D4" s="4">
        <v>112.0</v>
      </c>
      <c r="E4" s="4" t="s">
        <v>31</v>
      </c>
      <c r="F4" s="4" t="s">
        <v>18</v>
      </c>
      <c r="G4" s="4" t="s">
        <v>32</v>
      </c>
      <c r="H4" s="4" t="s">
        <v>16</v>
      </c>
      <c r="I4" s="4" t="s">
        <v>33</v>
      </c>
      <c r="J4" s="4">
        <v>100.0</v>
      </c>
      <c r="K4" s="4" t="s">
        <v>21</v>
      </c>
      <c r="Y4" s="5" t="str">
        <f t="shared" si="1"/>
        <v>112</v>
      </c>
      <c r="AA4" s="5">
        <f t="shared" si="2"/>
        <v>1</v>
      </c>
    </row>
    <row r="5">
      <c r="A5" s="4" t="s">
        <v>34</v>
      </c>
      <c r="B5" s="4" t="s">
        <v>35</v>
      </c>
      <c r="C5" s="4" t="s">
        <v>16</v>
      </c>
      <c r="D5" s="4">
        <v>11.0</v>
      </c>
      <c r="E5" s="4" t="s">
        <v>36</v>
      </c>
      <c r="F5" s="4" t="s">
        <v>18</v>
      </c>
      <c r="G5" s="4" t="s">
        <v>37</v>
      </c>
      <c r="H5" s="4" t="s">
        <v>38</v>
      </c>
      <c r="I5" s="4" t="s">
        <v>39</v>
      </c>
      <c r="J5" s="4">
        <v>60.0</v>
      </c>
      <c r="K5" s="4" t="s">
        <v>22</v>
      </c>
      <c r="Y5" s="5" t="str">
        <f t="shared" si="1"/>
        <v>1</v>
      </c>
      <c r="AA5" s="5">
        <f t="shared" si="2"/>
        <v>0</v>
      </c>
    </row>
    <row r="6">
      <c r="A6" s="4" t="s">
        <v>40</v>
      </c>
      <c r="B6" s="4" t="s">
        <v>41</v>
      </c>
      <c r="C6" s="4" t="s">
        <v>16</v>
      </c>
      <c r="D6" s="4">
        <v>43.0</v>
      </c>
      <c r="E6" s="4" t="s">
        <v>42</v>
      </c>
      <c r="F6" s="4" t="s">
        <v>18</v>
      </c>
      <c r="G6" s="4" t="s">
        <v>43</v>
      </c>
      <c r="H6" s="4" t="s">
        <v>16</v>
      </c>
      <c r="I6" s="4" t="s">
        <v>44</v>
      </c>
      <c r="J6" s="4">
        <v>100.0</v>
      </c>
      <c r="K6" s="4" t="s">
        <v>21</v>
      </c>
      <c r="Y6" s="5" t="str">
        <f t="shared" si="1"/>
        <v>43</v>
      </c>
      <c r="AA6" s="5">
        <f t="shared" si="2"/>
        <v>1</v>
      </c>
    </row>
    <row r="7">
      <c r="A7" s="4" t="s">
        <v>45</v>
      </c>
      <c r="B7" s="4" t="s">
        <v>46</v>
      </c>
      <c r="C7" s="4" t="s">
        <v>16</v>
      </c>
      <c r="D7" s="4">
        <v>12.0</v>
      </c>
      <c r="E7" s="4" t="s">
        <v>47</v>
      </c>
      <c r="F7" s="4" t="s">
        <v>18</v>
      </c>
      <c r="G7" s="4" t="s">
        <v>48</v>
      </c>
      <c r="H7" s="4" t="s">
        <v>16</v>
      </c>
      <c r="I7" s="4" t="s">
        <v>49</v>
      </c>
      <c r="J7" s="4">
        <v>90.0</v>
      </c>
      <c r="K7" s="4" t="s">
        <v>21</v>
      </c>
      <c r="Y7" s="5" t="str">
        <f t="shared" si="1"/>
        <v>192</v>
      </c>
      <c r="AA7" s="5">
        <f t="shared" si="2"/>
        <v>0</v>
      </c>
    </row>
    <row r="8">
      <c r="A8" s="4" t="s">
        <v>50</v>
      </c>
      <c r="B8" s="4" t="s">
        <v>51</v>
      </c>
      <c r="C8" s="4" t="s">
        <v>16</v>
      </c>
      <c r="D8" s="4">
        <v>118.0</v>
      </c>
      <c r="E8" s="4" t="s">
        <v>31</v>
      </c>
      <c r="F8" s="4" t="s">
        <v>18</v>
      </c>
      <c r="G8" s="4" t="s">
        <v>52</v>
      </c>
      <c r="H8" s="4" t="s">
        <v>16</v>
      </c>
      <c r="I8" s="4" t="s">
        <v>53</v>
      </c>
      <c r="J8" s="4">
        <v>100.0</v>
      </c>
      <c r="K8" s="4" t="s">
        <v>21</v>
      </c>
      <c r="Y8" s="5" t="str">
        <f t="shared" si="1"/>
        <v>118</v>
      </c>
      <c r="AA8" s="5">
        <f t="shared" si="2"/>
        <v>1</v>
      </c>
    </row>
    <row r="9">
      <c r="A9" s="4" t="s">
        <v>54</v>
      </c>
      <c r="B9" s="4" t="s">
        <v>55</v>
      </c>
      <c r="C9" s="4" t="s">
        <v>16</v>
      </c>
      <c r="D9" s="4">
        <v>63.0</v>
      </c>
      <c r="E9" s="4" t="s">
        <v>56</v>
      </c>
      <c r="F9" s="4" t="s">
        <v>18</v>
      </c>
      <c r="G9" s="4" t="s">
        <v>57</v>
      </c>
      <c r="H9" s="4" t="s">
        <v>16</v>
      </c>
      <c r="I9" s="4" t="s">
        <v>58</v>
      </c>
      <c r="J9" s="4">
        <v>100.0</v>
      </c>
      <c r="K9" s="4" t="s">
        <v>21</v>
      </c>
      <c r="Y9" s="5" t="str">
        <f t="shared" si="1"/>
        <v>63</v>
      </c>
      <c r="AA9" s="5">
        <f t="shared" si="2"/>
        <v>1</v>
      </c>
    </row>
    <row r="10">
      <c r="A10" s="4" t="s">
        <v>59</v>
      </c>
      <c r="B10" s="4" t="s">
        <v>60</v>
      </c>
      <c r="C10" s="4" t="s">
        <v>16</v>
      </c>
      <c r="D10" s="4">
        <v>19.0</v>
      </c>
      <c r="E10" s="4" t="s">
        <v>61</v>
      </c>
      <c r="F10" s="4" t="s">
        <v>18</v>
      </c>
      <c r="G10" s="4" t="s">
        <v>62</v>
      </c>
      <c r="H10" s="4" t="s">
        <v>16</v>
      </c>
      <c r="I10" s="4" t="s">
        <v>63</v>
      </c>
      <c r="J10" s="4">
        <v>100.0</v>
      </c>
      <c r="K10" s="4" t="s">
        <v>21</v>
      </c>
      <c r="Y10" s="5" t="str">
        <f t="shared" si="1"/>
        <v>19</v>
      </c>
      <c r="AA10" s="5">
        <f t="shared" si="2"/>
        <v>1</v>
      </c>
    </row>
    <row r="11">
      <c r="A11" s="4" t="s">
        <v>64</v>
      </c>
      <c r="B11" s="4" t="s">
        <v>65</v>
      </c>
      <c r="C11" s="4" t="s">
        <v>16</v>
      </c>
      <c r="D11" s="4">
        <v>134.0</v>
      </c>
      <c r="E11" s="4" t="s">
        <v>66</v>
      </c>
      <c r="F11" s="4" t="s">
        <v>18</v>
      </c>
      <c r="G11" s="4" t="s">
        <v>67</v>
      </c>
      <c r="H11" s="4" t="s">
        <v>16</v>
      </c>
      <c r="I11" s="4" t="s">
        <v>68</v>
      </c>
      <c r="J11" s="4">
        <v>100.0</v>
      </c>
      <c r="K11" s="4" t="s">
        <v>21</v>
      </c>
      <c r="Y11" s="5" t="str">
        <f t="shared" si="1"/>
        <v>134, 189</v>
      </c>
      <c r="AA11" s="5">
        <f t="shared" si="2"/>
        <v>1</v>
      </c>
    </row>
    <row r="12">
      <c r="A12" s="4" t="s">
        <v>69</v>
      </c>
      <c r="B12" s="4" t="s">
        <v>70</v>
      </c>
      <c r="C12" s="4" t="s">
        <v>16</v>
      </c>
      <c r="D12" s="4">
        <v>45.0</v>
      </c>
      <c r="E12" s="4" t="s">
        <v>71</v>
      </c>
      <c r="F12" s="4" t="s">
        <v>18</v>
      </c>
      <c r="G12" s="4" t="s">
        <v>72</v>
      </c>
      <c r="H12" s="4" t="s">
        <v>16</v>
      </c>
      <c r="I12" s="4" t="s">
        <v>73</v>
      </c>
      <c r="J12" s="4">
        <v>100.0</v>
      </c>
      <c r="K12" s="4" t="s">
        <v>21</v>
      </c>
      <c r="Y12" s="5" t="str">
        <f t="shared" si="1"/>
        <v>45</v>
      </c>
      <c r="AA12" s="5">
        <f t="shared" si="2"/>
        <v>1</v>
      </c>
    </row>
    <row r="13">
      <c r="A13" s="4" t="s">
        <v>74</v>
      </c>
      <c r="B13" s="4" t="s">
        <v>75</v>
      </c>
      <c r="C13" s="4" t="s">
        <v>16</v>
      </c>
      <c r="D13" s="4">
        <v>141.0</v>
      </c>
      <c r="E13" s="4" t="s">
        <v>76</v>
      </c>
      <c r="F13" s="4" t="s">
        <v>18</v>
      </c>
      <c r="G13" s="4" t="s">
        <v>77</v>
      </c>
      <c r="H13" s="4" t="s">
        <v>16</v>
      </c>
      <c r="I13" s="4" t="s">
        <v>78</v>
      </c>
      <c r="J13" s="4">
        <v>100.0</v>
      </c>
      <c r="K13" s="4" t="s">
        <v>21</v>
      </c>
      <c r="Y13" s="5" t="str">
        <f t="shared" si="1"/>
        <v>141</v>
      </c>
      <c r="AA13" s="5">
        <f t="shared" si="2"/>
        <v>1</v>
      </c>
    </row>
    <row r="14">
      <c r="A14" s="4" t="s">
        <v>79</v>
      </c>
      <c r="B14" s="4" t="s">
        <v>80</v>
      </c>
      <c r="C14" s="4" t="s">
        <v>16</v>
      </c>
      <c r="D14" s="4">
        <v>61.0</v>
      </c>
      <c r="E14" s="4" t="s">
        <v>56</v>
      </c>
      <c r="F14" s="4" t="s">
        <v>18</v>
      </c>
      <c r="G14" s="4" t="s">
        <v>81</v>
      </c>
      <c r="H14" s="4" t="s">
        <v>16</v>
      </c>
      <c r="I14" s="4" t="s">
        <v>82</v>
      </c>
      <c r="J14" s="4">
        <v>100.0</v>
      </c>
      <c r="K14" s="4" t="s">
        <v>21</v>
      </c>
      <c r="Y14" s="5" t="str">
        <f t="shared" si="1"/>
        <v>61</v>
      </c>
      <c r="AA14" s="5">
        <f t="shared" si="2"/>
        <v>1</v>
      </c>
    </row>
    <row r="15">
      <c r="A15" s="4" t="s">
        <v>83</v>
      </c>
      <c r="B15" s="4" t="s">
        <v>84</v>
      </c>
      <c r="C15" s="4" t="s">
        <v>16</v>
      </c>
      <c r="D15" s="4">
        <v>43.0</v>
      </c>
      <c r="E15" s="4" t="s">
        <v>71</v>
      </c>
      <c r="F15" s="4" t="s">
        <v>18</v>
      </c>
      <c r="G15" s="4" t="s">
        <v>85</v>
      </c>
      <c r="H15" s="4" t="s">
        <v>16</v>
      </c>
      <c r="I15" s="4" t="s">
        <v>44</v>
      </c>
      <c r="J15" s="4">
        <v>100.0</v>
      </c>
      <c r="K15" s="4" t="s">
        <v>21</v>
      </c>
      <c r="Y15" s="5" t="str">
        <f t="shared" si="1"/>
        <v>43</v>
      </c>
      <c r="AA15" s="5">
        <f t="shared" si="2"/>
        <v>1</v>
      </c>
    </row>
    <row r="16">
      <c r="A16" s="4" t="s">
        <v>86</v>
      </c>
      <c r="B16" s="4" t="s">
        <v>87</v>
      </c>
      <c r="C16" s="4" t="s">
        <v>16</v>
      </c>
      <c r="D16" s="4">
        <v>11.0</v>
      </c>
      <c r="E16" s="4" t="s">
        <v>36</v>
      </c>
      <c r="F16" s="4" t="s">
        <v>88</v>
      </c>
      <c r="G16" s="4" t="s">
        <v>89</v>
      </c>
      <c r="H16" s="4" t="s">
        <v>16</v>
      </c>
      <c r="I16" s="4" t="s">
        <v>90</v>
      </c>
      <c r="J16" s="4">
        <v>100.0</v>
      </c>
      <c r="K16" s="4" t="s">
        <v>21</v>
      </c>
      <c r="Y16" s="5" t="str">
        <f t="shared" si="1"/>
        <v>11</v>
      </c>
      <c r="AA16" s="5">
        <f t="shared" si="2"/>
        <v>1</v>
      </c>
    </row>
    <row r="17">
      <c r="A17" s="4" t="s">
        <v>91</v>
      </c>
      <c r="B17" s="4" t="s">
        <v>92</v>
      </c>
      <c r="C17" s="4" t="s">
        <v>16</v>
      </c>
      <c r="D17" s="4">
        <v>9.0</v>
      </c>
      <c r="E17" s="4" t="s">
        <v>93</v>
      </c>
      <c r="F17" s="4" t="s">
        <v>88</v>
      </c>
      <c r="G17" s="4" t="s">
        <v>94</v>
      </c>
      <c r="H17" s="4" t="s">
        <v>16</v>
      </c>
      <c r="I17" s="4" t="s">
        <v>95</v>
      </c>
      <c r="J17" s="4">
        <v>100.0</v>
      </c>
      <c r="K17" s="4" t="s">
        <v>21</v>
      </c>
      <c r="Y17" s="5" t="str">
        <f t="shared" si="1"/>
        <v>9</v>
      </c>
      <c r="AA17" s="5">
        <f t="shared" si="2"/>
        <v>1</v>
      </c>
    </row>
    <row r="18">
      <c r="A18" s="4" t="s">
        <v>96</v>
      </c>
      <c r="B18" s="4" t="s">
        <v>97</v>
      </c>
      <c r="C18" s="4" t="s">
        <v>16</v>
      </c>
      <c r="D18" s="4">
        <v>10.0</v>
      </c>
      <c r="E18" s="4" t="s">
        <v>98</v>
      </c>
      <c r="F18" s="4" t="s">
        <v>88</v>
      </c>
      <c r="G18" s="4" t="s">
        <v>99</v>
      </c>
      <c r="H18" s="4" t="s">
        <v>16</v>
      </c>
      <c r="I18" s="4" t="s">
        <v>100</v>
      </c>
      <c r="J18" s="4">
        <v>100.0</v>
      </c>
      <c r="K18" s="4" t="s">
        <v>21</v>
      </c>
      <c r="Y18" s="5" t="str">
        <f t="shared" si="1"/>
        <v>10</v>
      </c>
      <c r="AA18" s="5">
        <f t="shared" si="2"/>
        <v>1</v>
      </c>
    </row>
    <row r="19">
      <c r="A19" s="4" t="s">
        <v>101</v>
      </c>
      <c r="B19" s="4" t="s">
        <v>102</v>
      </c>
      <c r="C19" s="4" t="s">
        <v>16</v>
      </c>
      <c r="D19" s="4">
        <v>63.0</v>
      </c>
      <c r="E19" s="4" t="s">
        <v>56</v>
      </c>
      <c r="F19" s="4" t="s">
        <v>88</v>
      </c>
      <c r="G19" s="4" t="s">
        <v>103</v>
      </c>
      <c r="H19" s="4" t="s">
        <v>16</v>
      </c>
      <c r="I19" s="4" t="s">
        <v>58</v>
      </c>
      <c r="J19" s="4">
        <v>100.0</v>
      </c>
      <c r="K19" s="4" t="s">
        <v>21</v>
      </c>
      <c r="Y19" s="5" t="str">
        <f t="shared" si="1"/>
        <v>63</v>
      </c>
      <c r="AA19" s="5">
        <f t="shared" si="2"/>
        <v>1</v>
      </c>
    </row>
    <row r="20">
      <c r="A20" s="4" t="s">
        <v>104</v>
      </c>
      <c r="B20" s="4" t="s">
        <v>105</v>
      </c>
      <c r="C20" s="4" t="s">
        <v>16</v>
      </c>
      <c r="D20" s="4">
        <v>108.0</v>
      </c>
      <c r="E20" s="4" t="s">
        <v>106</v>
      </c>
      <c r="F20" s="4" t="s">
        <v>88</v>
      </c>
      <c r="G20" s="4" t="s">
        <v>107</v>
      </c>
      <c r="H20" s="4" t="s">
        <v>16</v>
      </c>
      <c r="I20" s="4" t="s">
        <v>108</v>
      </c>
      <c r="J20" s="4">
        <v>100.0</v>
      </c>
      <c r="K20" s="4" t="s">
        <v>21</v>
      </c>
      <c r="Y20" s="5" t="str">
        <f t="shared" si="1"/>
        <v>108</v>
      </c>
      <c r="AA20" s="5">
        <f t="shared" si="2"/>
        <v>1</v>
      </c>
    </row>
    <row r="21">
      <c r="A21" s="4" t="s">
        <v>109</v>
      </c>
      <c r="B21" s="4" t="s">
        <v>110</v>
      </c>
      <c r="C21" s="4" t="s">
        <v>16</v>
      </c>
      <c r="D21" s="4">
        <v>31.0</v>
      </c>
      <c r="E21" s="4" t="s">
        <v>26</v>
      </c>
      <c r="F21" s="4" t="s">
        <v>88</v>
      </c>
      <c r="G21" s="4" t="s">
        <v>111</v>
      </c>
      <c r="H21" s="4" t="s">
        <v>16</v>
      </c>
      <c r="I21" s="4" t="s">
        <v>112</v>
      </c>
      <c r="J21" s="4">
        <v>100.0</v>
      </c>
      <c r="K21" s="4" t="s">
        <v>21</v>
      </c>
      <c r="Y21" s="5" t="str">
        <f t="shared" si="1"/>
        <v>31</v>
      </c>
      <c r="AA21" s="5">
        <f t="shared" si="2"/>
        <v>1</v>
      </c>
    </row>
    <row r="22">
      <c r="A22" s="4" t="s">
        <v>113</v>
      </c>
      <c r="B22" s="4" t="s">
        <v>114</v>
      </c>
      <c r="C22" s="4" t="s">
        <v>115</v>
      </c>
      <c r="D22" s="4">
        <v>2.0</v>
      </c>
      <c r="E22" s="4" t="s">
        <v>116</v>
      </c>
      <c r="F22" s="4" t="s">
        <v>18</v>
      </c>
      <c r="G22" s="4" t="s">
        <v>117</v>
      </c>
      <c r="H22" s="4" t="s">
        <v>115</v>
      </c>
      <c r="I22" s="4" t="s">
        <v>118</v>
      </c>
      <c r="J22" s="4">
        <v>100.0</v>
      </c>
      <c r="K22" s="4" t="s">
        <v>21</v>
      </c>
      <c r="Y22" s="5" t="str">
        <f t="shared" si="1"/>
        <v>1, 2</v>
      </c>
      <c r="AA22" s="5">
        <f t="shared" si="2"/>
        <v>1</v>
      </c>
    </row>
    <row r="23">
      <c r="A23" s="4" t="s">
        <v>119</v>
      </c>
      <c r="B23" s="4" t="s">
        <v>120</v>
      </c>
      <c r="C23" s="4" t="s">
        <v>115</v>
      </c>
      <c r="D23" s="4">
        <v>2.0</v>
      </c>
      <c r="E23" s="4" t="s">
        <v>121</v>
      </c>
      <c r="F23" s="4" t="s">
        <v>18</v>
      </c>
      <c r="G23" s="4" t="s">
        <v>122</v>
      </c>
      <c r="H23" s="4" t="s">
        <v>115</v>
      </c>
      <c r="I23" s="4" t="s">
        <v>123</v>
      </c>
      <c r="J23" s="4">
        <v>100.0</v>
      </c>
      <c r="K23" s="4" t="s">
        <v>21</v>
      </c>
      <c r="Y23" s="5" t="str">
        <f t="shared" si="1"/>
        <v>2</v>
      </c>
      <c r="AA23" s="5">
        <f t="shared" si="2"/>
        <v>1</v>
      </c>
    </row>
    <row r="24">
      <c r="A24" s="4" t="s">
        <v>124</v>
      </c>
      <c r="B24" s="4" t="s">
        <v>125</v>
      </c>
      <c r="C24" s="4" t="s">
        <v>115</v>
      </c>
      <c r="D24" s="4">
        <v>3.0</v>
      </c>
      <c r="E24" s="4" t="s">
        <v>126</v>
      </c>
      <c r="F24" s="4" t="s">
        <v>18</v>
      </c>
      <c r="G24" s="4" t="s">
        <v>127</v>
      </c>
      <c r="H24" s="4" t="s">
        <v>128</v>
      </c>
      <c r="I24" s="4" t="s">
        <v>129</v>
      </c>
      <c r="J24" s="4">
        <v>10.0</v>
      </c>
      <c r="K24" s="4" t="s">
        <v>23</v>
      </c>
      <c r="Y24" s="5" t="str">
        <f t="shared" si="1"/>
        <v>7</v>
      </c>
      <c r="AA24" s="5">
        <f t="shared" si="2"/>
        <v>0</v>
      </c>
    </row>
    <row r="25">
      <c r="A25" s="4" t="s">
        <v>130</v>
      </c>
      <c r="B25" s="4" t="s">
        <v>131</v>
      </c>
      <c r="C25" s="4" t="s">
        <v>115</v>
      </c>
      <c r="D25" s="4">
        <v>3.0</v>
      </c>
      <c r="E25" s="4" t="s">
        <v>132</v>
      </c>
      <c r="F25" s="4" t="s">
        <v>18</v>
      </c>
      <c r="G25" s="4" t="s">
        <v>133</v>
      </c>
      <c r="H25" s="4" t="s">
        <v>115</v>
      </c>
      <c r="I25" s="4" t="s">
        <v>134</v>
      </c>
      <c r="J25" s="4">
        <v>100.0</v>
      </c>
      <c r="K25" s="4" t="s">
        <v>21</v>
      </c>
      <c r="Y25" s="5" t="str">
        <f t="shared" si="1"/>
        <v>3, 15, 16</v>
      </c>
      <c r="AA25" s="5">
        <f t="shared" si="2"/>
        <v>1</v>
      </c>
    </row>
    <row r="26">
      <c r="A26" s="4" t="s">
        <v>135</v>
      </c>
      <c r="B26" s="4" t="s">
        <v>136</v>
      </c>
      <c r="C26" s="4" t="s">
        <v>115</v>
      </c>
      <c r="D26" s="4">
        <v>4.0</v>
      </c>
      <c r="E26" s="4" t="s">
        <v>137</v>
      </c>
      <c r="F26" s="4" t="s">
        <v>18</v>
      </c>
      <c r="G26" s="4" t="s">
        <v>138</v>
      </c>
      <c r="H26" s="4" t="s">
        <v>115</v>
      </c>
      <c r="I26" s="4" t="s">
        <v>139</v>
      </c>
      <c r="J26" s="4">
        <v>100.0</v>
      </c>
      <c r="K26" s="4" t="s">
        <v>21</v>
      </c>
      <c r="Y26" s="5" t="str">
        <f t="shared" si="1"/>
        <v>4</v>
      </c>
      <c r="AA26" s="5">
        <f t="shared" si="2"/>
        <v>1</v>
      </c>
    </row>
    <row r="27">
      <c r="A27" s="4" t="s">
        <v>140</v>
      </c>
      <c r="B27" s="4" t="s">
        <v>141</v>
      </c>
      <c r="C27" s="4" t="s">
        <v>115</v>
      </c>
      <c r="D27" s="4">
        <v>4.0</v>
      </c>
      <c r="E27" s="4" t="s">
        <v>142</v>
      </c>
      <c r="F27" s="4" t="s">
        <v>18</v>
      </c>
      <c r="G27" s="4" t="s">
        <v>143</v>
      </c>
      <c r="H27" s="4" t="s">
        <v>115</v>
      </c>
      <c r="I27" s="4" t="s">
        <v>139</v>
      </c>
      <c r="J27" s="4">
        <v>100.0</v>
      </c>
      <c r="K27" s="4" t="s">
        <v>21</v>
      </c>
      <c r="Y27" s="5" t="str">
        <f t="shared" si="1"/>
        <v>4</v>
      </c>
      <c r="AA27" s="5">
        <f t="shared" si="2"/>
        <v>1</v>
      </c>
    </row>
    <row r="28">
      <c r="A28" s="4" t="s">
        <v>144</v>
      </c>
      <c r="B28" s="4" t="s">
        <v>145</v>
      </c>
      <c r="C28" s="4" t="s">
        <v>115</v>
      </c>
      <c r="D28" s="4">
        <v>5.0</v>
      </c>
      <c r="E28" s="4" t="s">
        <v>146</v>
      </c>
      <c r="F28" s="4" t="s">
        <v>18</v>
      </c>
      <c r="G28" s="4" t="s">
        <v>147</v>
      </c>
      <c r="H28" s="4" t="s">
        <v>115</v>
      </c>
      <c r="I28" s="4" t="s">
        <v>148</v>
      </c>
      <c r="J28" s="4">
        <v>100.0</v>
      </c>
      <c r="K28" s="4" t="s">
        <v>21</v>
      </c>
      <c r="Y28" s="5" t="str">
        <f t="shared" si="1"/>
        <v>5</v>
      </c>
      <c r="AA28" s="5">
        <f t="shared" si="2"/>
        <v>1</v>
      </c>
    </row>
    <row r="29">
      <c r="A29" s="4" t="s">
        <v>149</v>
      </c>
      <c r="B29" s="4" t="s">
        <v>150</v>
      </c>
      <c r="C29" s="4" t="s">
        <v>115</v>
      </c>
      <c r="D29" s="4">
        <v>5.0</v>
      </c>
      <c r="E29" s="4" t="s">
        <v>151</v>
      </c>
      <c r="F29" s="4" t="s">
        <v>88</v>
      </c>
      <c r="G29" s="4" t="s">
        <v>152</v>
      </c>
      <c r="H29" s="4" t="s">
        <v>115</v>
      </c>
      <c r="I29" s="4" t="s">
        <v>153</v>
      </c>
      <c r="J29" s="4">
        <v>98.0</v>
      </c>
      <c r="K29" s="4" t="s">
        <v>21</v>
      </c>
      <c r="Y29" s="5" t="str">
        <f t="shared" si="1"/>
        <v>5, 6</v>
      </c>
      <c r="AA29" s="5">
        <f t="shared" si="2"/>
        <v>1</v>
      </c>
    </row>
    <row r="30">
      <c r="A30" s="4" t="s">
        <v>154</v>
      </c>
      <c r="B30" s="4" t="s">
        <v>155</v>
      </c>
      <c r="C30" s="4" t="s">
        <v>115</v>
      </c>
      <c r="D30" s="4">
        <v>6.0</v>
      </c>
      <c r="E30" s="4" t="s">
        <v>156</v>
      </c>
      <c r="F30" s="4" t="s">
        <v>88</v>
      </c>
      <c r="G30" s="4" t="s">
        <v>157</v>
      </c>
      <c r="H30" s="4" t="s">
        <v>115</v>
      </c>
      <c r="I30" s="4" t="s">
        <v>158</v>
      </c>
      <c r="J30" s="4">
        <v>100.0</v>
      </c>
      <c r="K30" s="4" t="s">
        <v>21</v>
      </c>
      <c r="Y30" s="5" t="str">
        <f t="shared" si="1"/>
        <v>6</v>
      </c>
      <c r="AA30" s="5">
        <f t="shared" si="2"/>
        <v>1</v>
      </c>
    </row>
    <row r="31">
      <c r="A31" s="4" t="s">
        <v>159</v>
      </c>
      <c r="B31" s="4" t="s">
        <v>160</v>
      </c>
      <c r="C31" s="4" t="s">
        <v>115</v>
      </c>
      <c r="D31" s="4">
        <v>7.0</v>
      </c>
      <c r="E31" s="4" t="s">
        <v>161</v>
      </c>
      <c r="F31" s="4" t="s">
        <v>18</v>
      </c>
      <c r="G31" s="4" t="s">
        <v>162</v>
      </c>
      <c r="H31" s="4" t="s">
        <v>115</v>
      </c>
      <c r="I31" s="4" t="s">
        <v>129</v>
      </c>
      <c r="J31" s="4">
        <v>100.0</v>
      </c>
      <c r="K31" s="4" t="s">
        <v>21</v>
      </c>
      <c r="Y31" s="5" t="str">
        <f t="shared" si="1"/>
        <v>7</v>
      </c>
      <c r="AA31" s="5">
        <f t="shared" si="2"/>
        <v>1</v>
      </c>
    </row>
    <row r="32">
      <c r="A32" s="4" t="s">
        <v>163</v>
      </c>
      <c r="B32" s="4" t="s">
        <v>164</v>
      </c>
      <c r="C32" s="4" t="s">
        <v>115</v>
      </c>
      <c r="D32" s="4">
        <v>8.0</v>
      </c>
      <c r="E32" s="4" t="s">
        <v>165</v>
      </c>
      <c r="F32" s="4" t="s">
        <v>18</v>
      </c>
      <c r="G32" s="4" t="s">
        <v>166</v>
      </c>
      <c r="H32" s="4" t="s">
        <v>115</v>
      </c>
      <c r="I32" s="4" t="s">
        <v>167</v>
      </c>
      <c r="J32" s="4">
        <v>95.0</v>
      </c>
      <c r="K32" s="4" t="s">
        <v>21</v>
      </c>
      <c r="Y32" s="5" t="str">
        <f t="shared" si="1"/>
        <v>8, 12</v>
      </c>
      <c r="AA32" s="5">
        <f t="shared" si="2"/>
        <v>1</v>
      </c>
    </row>
    <row r="33">
      <c r="A33" s="4" t="s">
        <v>168</v>
      </c>
      <c r="B33" s="4" t="s">
        <v>169</v>
      </c>
      <c r="C33" s="4" t="s">
        <v>115</v>
      </c>
      <c r="D33" s="4">
        <v>9.0</v>
      </c>
      <c r="E33" s="4" t="s">
        <v>170</v>
      </c>
      <c r="F33" s="4" t="s">
        <v>88</v>
      </c>
      <c r="G33" s="4" t="s">
        <v>171</v>
      </c>
      <c r="H33" s="4" t="s">
        <v>115</v>
      </c>
      <c r="I33" s="4" t="s">
        <v>95</v>
      </c>
      <c r="J33" s="4">
        <v>100.0</v>
      </c>
      <c r="K33" s="4" t="s">
        <v>21</v>
      </c>
      <c r="Y33" s="5" t="str">
        <f t="shared" si="1"/>
        <v>9</v>
      </c>
      <c r="AA33" s="5">
        <f t="shared" si="2"/>
        <v>1</v>
      </c>
    </row>
    <row r="34">
      <c r="A34" s="4" t="s">
        <v>172</v>
      </c>
      <c r="B34" s="4" t="s">
        <v>173</v>
      </c>
      <c r="C34" s="4" t="s">
        <v>115</v>
      </c>
      <c r="D34" s="4">
        <v>12.0</v>
      </c>
      <c r="E34" s="4" t="s">
        <v>174</v>
      </c>
      <c r="F34" s="4" t="s">
        <v>18</v>
      </c>
      <c r="G34" s="4" t="s">
        <v>175</v>
      </c>
      <c r="H34" s="4" t="s">
        <v>16</v>
      </c>
      <c r="I34" s="4" t="s">
        <v>176</v>
      </c>
      <c r="J34" s="4">
        <v>0.0</v>
      </c>
      <c r="K34" s="4" t="s">
        <v>23</v>
      </c>
      <c r="Y34" s="5" t="str">
        <f t="shared" si="1"/>
        <v>128</v>
      </c>
      <c r="AA34" s="5">
        <f t="shared" si="2"/>
        <v>1</v>
      </c>
    </row>
    <row r="35">
      <c r="A35" s="4" t="s">
        <v>177</v>
      </c>
      <c r="B35" s="4" t="s">
        <v>178</v>
      </c>
      <c r="C35" s="4" t="s">
        <v>115</v>
      </c>
      <c r="D35" s="4">
        <v>13.0</v>
      </c>
      <c r="E35" s="4" t="s">
        <v>179</v>
      </c>
      <c r="F35" s="4" t="s">
        <v>88</v>
      </c>
      <c r="G35" s="4" t="s">
        <v>180</v>
      </c>
      <c r="H35" s="4" t="s">
        <v>16</v>
      </c>
      <c r="I35" s="4" t="s">
        <v>181</v>
      </c>
      <c r="J35" s="4">
        <v>5.0</v>
      </c>
      <c r="K35" s="4" t="s">
        <v>23</v>
      </c>
      <c r="Y35" s="5" t="str">
        <f t="shared" si="1"/>
        <v>131</v>
      </c>
      <c r="AA35" s="5">
        <f t="shared" si="2"/>
        <v>1</v>
      </c>
    </row>
    <row r="36">
      <c r="A36" s="4" t="s">
        <v>182</v>
      </c>
      <c r="B36" s="4" t="s">
        <v>183</v>
      </c>
      <c r="C36" s="4" t="s">
        <v>115</v>
      </c>
      <c r="D36" s="4">
        <v>14.0</v>
      </c>
      <c r="E36" s="4" t="s">
        <v>184</v>
      </c>
      <c r="F36" s="4" t="s">
        <v>18</v>
      </c>
      <c r="G36" s="4" t="s">
        <v>185</v>
      </c>
      <c r="H36" s="4" t="s">
        <v>115</v>
      </c>
      <c r="I36" s="4" t="s">
        <v>186</v>
      </c>
      <c r="J36" s="4">
        <v>100.0</v>
      </c>
      <c r="K36" s="4" t="s">
        <v>21</v>
      </c>
      <c r="Y36" s="5" t="str">
        <f t="shared" si="1"/>
        <v>2, 6, 14, 15</v>
      </c>
      <c r="AA36" s="5">
        <f t="shared" si="2"/>
        <v>1</v>
      </c>
    </row>
    <row r="37">
      <c r="A37" s="4" t="s">
        <v>187</v>
      </c>
      <c r="B37" s="4" t="s">
        <v>188</v>
      </c>
      <c r="C37" s="4" t="s">
        <v>115</v>
      </c>
      <c r="D37" s="4">
        <v>15.0</v>
      </c>
      <c r="E37" s="4" t="s">
        <v>189</v>
      </c>
      <c r="F37" s="4" t="s">
        <v>18</v>
      </c>
      <c r="G37" s="4" t="s">
        <v>190</v>
      </c>
      <c r="H37" s="4" t="s">
        <v>115</v>
      </c>
      <c r="I37" s="4" t="s">
        <v>191</v>
      </c>
      <c r="J37" s="4">
        <v>100.0</v>
      </c>
      <c r="K37" s="4" t="s">
        <v>21</v>
      </c>
      <c r="Y37" s="5" t="str">
        <f t="shared" si="1"/>
        <v>15</v>
      </c>
      <c r="AA37" s="5">
        <f t="shared" si="2"/>
        <v>1</v>
      </c>
    </row>
    <row r="38">
      <c r="A38" s="4" t="s">
        <v>192</v>
      </c>
      <c r="B38" s="4" t="s">
        <v>193</v>
      </c>
      <c r="C38" s="4" t="s">
        <v>115</v>
      </c>
      <c r="D38" s="4">
        <v>17.0</v>
      </c>
      <c r="E38" s="4" t="s">
        <v>194</v>
      </c>
      <c r="F38" s="4" t="s">
        <v>18</v>
      </c>
      <c r="G38" s="4" t="s">
        <v>195</v>
      </c>
      <c r="H38" s="4" t="s">
        <v>115</v>
      </c>
      <c r="I38" s="4" t="s">
        <v>196</v>
      </c>
      <c r="J38" s="4">
        <v>100.0</v>
      </c>
      <c r="K38" s="4" t="s">
        <v>21</v>
      </c>
      <c r="Y38" s="5" t="str">
        <f t="shared" si="1"/>
        <v>17</v>
      </c>
      <c r="AA38" s="5">
        <f t="shared" si="2"/>
        <v>1</v>
      </c>
    </row>
    <row r="39">
      <c r="A39" s="4" t="s">
        <v>197</v>
      </c>
      <c r="B39" s="4" t="s">
        <v>198</v>
      </c>
      <c r="C39" s="4" t="s">
        <v>115</v>
      </c>
      <c r="D39" s="4">
        <v>7.0</v>
      </c>
      <c r="E39" s="4" t="s">
        <v>199</v>
      </c>
      <c r="F39" s="4" t="s">
        <v>88</v>
      </c>
      <c r="G39" s="4" t="s">
        <v>200</v>
      </c>
      <c r="H39" s="4" t="s">
        <v>115</v>
      </c>
      <c r="I39" s="4" t="s">
        <v>129</v>
      </c>
      <c r="J39" s="4">
        <v>100.0</v>
      </c>
      <c r="K39" s="4" t="s">
        <v>21</v>
      </c>
      <c r="Y39" s="5" t="str">
        <f t="shared" si="1"/>
        <v>7</v>
      </c>
      <c r="AA39" s="5">
        <f t="shared" si="2"/>
        <v>1</v>
      </c>
    </row>
    <row r="40">
      <c r="A40" s="4" t="s">
        <v>201</v>
      </c>
      <c r="B40" s="4" t="s">
        <v>202</v>
      </c>
      <c r="C40" s="4" t="s">
        <v>115</v>
      </c>
      <c r="D40" s="4">
        <v>16.0</v>
      </c>
      <c r="E40" s="4" t="s">
        <v>194</v>
      </c>
      <c r="F40" s="4" t="s">
        <v>18</v>
      </c>
      <c r="G40" s="4" t="s">
        <v>203</v>
      </c>
      <c r="H40" s="4" t="s">
        <v>115</v>
      </c>
      <c r="I40" s="4" t="s">
        <v>204</v>
      </c>
      <c r="J40" s="4">
        <v>100.0</v>
      </c>
      <c r="K40" s="4" t="s">
        <v>21</v>
      </c>
      <c r="Y40" s="5" t="str">
        <f t="shared" si="1"/>
        <v>16</v>
      </c>
      <c r="AA40" s="5">
        <f t="shared" si="2"/>
        <v>1</v>
      </c>
    </row>
    <row r="41">
      <c r="A41" s="4" t="s">
        <v>205</v>
      </c>
      <c r="B41" s="4" t="s">
        <v>206</v>
      </c>
      <c r="C41" s="4" t="s">
        <v>115</v>
      </c>
      <c r="D41" s="4">
        <v>31.0</v>
      </c>
      <c r="E41" s="4" t="s">
        <v>207</v>
      </c>
      <c r="F41" s="4" t="s">
        <v>18</v>
      </c>
      <c r="G41" s="4" t="s">
        <v>208</v>
      </c>
      <c r="H41" s="4" t="s">
        <v>115</v>
      </c>
      <c r="I41" s="4" t="s">
        <v>209</v>
      </c>
      <c r="J41" s="4">
        <v>100.0</v>
      </c>
      <c r="K41" s="4" t="s">
        <v>21</v>
      </c>
      <c r="Y41" s="5" t="str">
        <f t="shared" si="1"/>
        <v>30, 31</v>
      </c>
      <c r="AA41" s="5">
        <f t="shared" si="2"/>
        <v>1</v>
      </c>
    </row>
    <row r="42">
      <c r="A42" s="4" t="s">
        <v>210</v>
      </c>
      <c r="B42" s="4" t="s">
        <v>211</v>
      </c>
      <c r="C42" s="4" t="s">
        <v>128</v>
      </c>
      <c r="D42" s="4">
        <v>7.0</v>
      </c>
      <c r="E42" s="4" t="s">
        <v>212</v>
      </c>
      <c r="F42" s="4" t="s">
        <v>18</v>
      </c>
      <c r="G42" s="4" t="s">
        <v>213</v>
      </c>
      <c r="H42" s="4" t="s">
        <v>128</v>
      </c>
      <c r="I42" s="4" t="s">
        <v>129</v>
      </c>
      <c r="J42" s="4">
        <v>100.0</v>
      </c>
      <c r="K42" s="4" t="s">
        <v>21</v>
      </c>
      <c r="Y42" s="5" t="str">
        <f t="shared" si="1"/>
        <v>7</v>
      </c>
      <c r="AA42" s="5">
        <f t="shared" si="2"/>
        <v>1</v>
      </c>
    </row>
    <row r="43">
      <c r="A43" s="4" t="s">
        <v>214</v>
      </c>
      <c r="B43" s="4" t="s">
        <v>215</v>
      </c>
      <c r="C43" s="4" t="s">
        <v>128</v>
      </c>
      <c r="D43" s="4">
        <v>8.0</v>
      </c>
      <c r="E43" s="4" t="s">
        <v>216</v>
      </c>
      <c r="F43" s="4" t="s">
        <v>18</v>
      </c>
      <c r="G43" s="4" t="s">
        <v>217</v>
      </c>
      <c r="H43" s="4" t="s">
        <v>128</v>
      </c>
      <c r="I43" s="4" t="s">
        <v>218</v>
      </c>
      <c r="J43" s="4">
        <v>100.0</v>
      </c>
      <c r="K43" s="4" t="s">
        <v>21</v>
      </c>
      <c r="Y43" s="5" t="str">
        <f t="shared" si="1"/>
        <v>8</v>
      </c>
      <c r="AA43" s="5">
        <f t="shared" si="2"/>
        <v>1</v>
      </c>
    </row>
    <row r="44">
      <c r="A44" s="4" t="s">
        <v>219</v>
      </c>
      <c r="B44" s="4" t="s">
        <v>220</v>
      </c>
      <c r="C44" s="4" t="s">
        <v>128</v>
      </c>
      <c r="D44" s="4">
        <v>5.0</v>
      </c>
      <c r="E44" s="4" t="s">
        <v>221</v>
      </c>
      <c r="F44" s="4" t="s">
        <v>18</v>
      </c>
      <c r="G44" s="4" t="s">
        <v>222</v>
      </c>
      <c r="H44" s="4" t="s">
        <v>128</v>
      </c>
      <c r="I44" s="4" t="s">
        <v>223</v>
      </c>
      <c r="J44" s="4">
        <v>100.0</v>
      </c>
      <c r="K44" s="4" t="s">
        <v>21</v>
      </c>
      <c r="Y44" s="5" t="str">
        <f t="shared" si="1"/>
        <v>4, 5</v>
      </c>
      <c r="AA44" s="5">
        <f t="shared" si="2"/>
        <v>1</v>
      </c>
    </row>
    <row r="45">
      <c r="A45" s="4" t="s">
        <v>224</v>
      </c>
      <c r="B45" s="4" t="s">
        <v>225</v>
      </c>
      <c r="C45" s="4" t="s">
        <v>128</v>
      </c>
      <c r="D45" s="4">
        <v>11.0</v>
      </c>
      <c r="E45" s="4" t="s">
        <v>226</v>
      </c>
      <c r="F45" s="4" t="s">
        <v>18</v>
      </c>
      <c r="G45" s="4" t="s">
        <v>227</v>
      </c>
      <c r="H45" s="4" t="s">
        <v>128</v>
      </c>
      <c r="I45" s="4" t="s">
        <v>90</v>
      </c>
      <c r="J45" s="4">
        <v>100.0</v>
      </c>
      <c r="K45" s="4" t="s">
        <v>21</v>
      </c>
      <c r="Y45" s="5" t="str">
        <f t="shared" si="1"/>
        <v>11</v>
      </c>
      <c r="AA45" s="5">
        <f t="shared" si="2"/>
        <v>1</v>
      </c>
    </row>
    <row r="46">
      <c r="A46" s="4" t="s">
        <v>228</v>
      </c>
      <c r="B46" s="4" t="s">
        <v>229</v>
      </c>
      <c r="C46" s="4" t="s">
        <v>128</v>
      </c>
      <c r="D46" s="4">
        <v>11.0</v>
      </c>
      <c r="E46" s="4" t="s">
        <v>230</v>
      </c>
      <c r="F46" s="4" t="s">
        <v>18</v>
      </c>
      <c r="G46" s="4" t="s">
        <v>231</v>
      </c>
      <c r="H46" s="4" t="s">
        <v>128</v>
      </c>
      <c r="I46" s="4" t="s">
        <v>90</v>
      </c>
      <c r="J46" s="4">
        <v>100.0</v>
      </c>
      <c r="K46" s="4" t="s">
        <v>21</v>
      </c>
      <c r="Y46" s="5" t="str">
        <f t="shared" si="1"/>
        <v>11</v>
      </c>
      <c r="AA46" s="5">
        <f t="shared" si="2"/>
        <v>1</v>
      </c>
    </row>
    <row r="47">
      <c r="A47" s="4" t="s">
        <v>232</v>
      </c>
      <c r="B47" s="4" t="s">
        <v>233</v>
      </c>
      <c r="C47" s="4" t="s">
        <v>128</v>
      </c>
      <c r="D47" s="4">
        <v>6.0</v>
      </c>
      <c r="E47" s="4" t="s">
        <v>234</v>
      </c>
      <c r="F47" s="4" t="s">
        <v>88</v>
      </c>
      <c r="G47" s="4" t="s">
        <v>235</v>
      </c>
      <c r="H47" s="4" t="s">
        <v>128</v>
      </c>
      <c r="I47" s="4" t="s">
        <v>158</v>
      </c>
      <c r="J47" s="4">
        <v>100.0</v>
      </c>
      <c r="K47" s="4" t="s">
        <v>21</v>
      </c>
      <c r="Y47" s="5" t="str">
        <f t="shared" si="1"/>
        <v>6</v>
      </c>
      <c r="AA47" s="5">
        <f t="shared" si="2"/>
        <v>1</v>
      </c>
    </row>
    <row r="48">
      <c r="A48" s="4" t="s">
        <v>236</v>
      </c>
      <c r="B48" s="4" t="s">
        <v>237</v>
      </c>
      <c r="C48" s="4" t="s">
        <v>128</v>
      </c>
      <c r="D48" s="4">
        <v>16.0</v>
      </c>
      <c r="E48" s="4" t="s">
        <v>238</v>
      </c>
      <c r="F48" s="4" t="s">
        <v>18</v>
      </c>
      <c r="G48" s="4" t="s">
        <v>239</v>
      </c>
      <c r="H48" s="4" t="s">
        <v>128</v>
      </c>
      <c r="I48" s="4" t="s">
        <v>204</v>
      </c>
      <c r="J48" s="4">
        <v>100.0</v>
      </c>
      <c r="K48" s="4" t="s">
        <v>21</v>
      </c>
      <c r="Y48" s="5" t="str">
        <f t="shared" si="1"/>
        <v>16</v>
      </c>
      <c r="AA48" s="5">
        <f t="shared" si="2"/>
        <v>1</v>
      </c>
    </row>
    <row r="49">
      <c r="A49" s="4" t="s">
        <v>240</v>
      </c>
      <c r="B49" s="4" t="s">
        <v>241</v>
      </c>
      <c r="C49" s="4" t="s">
        <v>128</v>
      </c>
      <c r="D49" s="4">
        <v>18.0</v>
      </c>
      <c r="E49" s="4" t="s">
        <v>242</v>
      </c>
      <c r="F49" s="4" t="s">
        <v>18</v>
      </c>
      <c r="G49" s="4" t="s">
        <v>243</v>
      </c>
      <c r="H49" s="4" t="s">
        <v>128</v>
      </c>
      <c r="I49" s="4" t="s">
        <v>244</v>
      </c>
      <c r="J49" s="4">
        <v>100.0</v>
      </c>
      <c r="K49" s="4" t="s">
        <v>21</v>
      </c>
      <c r="Y49" s="5" t="str">
        <f t="shared" si="1"/>
        <v>18, 19</v>
      </c>
      <c r="AA49" s="5">
        <f t="shared" si="2"/>
        <v>1</v>
      </c>
    </row>
    <row r="50">
      <c r="A50" s="4" t="s">
        <v>245</v>
      </c>
      <c r="B50" s="4" t="s">
        <v>246</v>
      </c>
      <c r="C50" s="4" t="s">
        <v>128</v>
      </c>
      <c r="D50" s="4">
        <v>75.0</v>
      </c>
      <c r="E50" s="4" t="s">
        <v>36</v>
      </c>
      <c r="F50" s="4" t="s">
        <v>18</v>
      </c>
      <c r="G50" s="4" t="s">
        <v>247</v>
      </c>
      <c r="H50" s="4" t="s">
        <v>128</v>
      </c>
      <c r="I50" s="4" t="s">
        <v>248</v>
      </c>
      <c r="J50" s="4">
        <v>95.0</v>
      </c>
      <c r="K50" s="4" t="s">
        <v>21</v>
      </c>
      <c r="Y50" s="5" t="str">
        <f t="shared" si="1"/>
        <v>76, 205</v>
      </c>
      <c r="AA50" s="5">
        <f t="shared" si="2"/>
        <v>1</v>
      </c>
    </row>
    <row r="51">
      <c r="A51" s="4" t="s">
        <v>249</v>
      </c>
      <c r="B51" s="4" t="s">
        <v>250</v>
      </c>
      <c r="C51" s="4" t="s">
        <v>128</v>
      </c>
      <c r="D51" s="4">
        <v>22.0</v>
      </c>
      <c r="E51" s="4" t="s">
        <v>56</v>
      </c>
      <c r="F51" s="4" t="s">
        <v>18</v>
      </c>
      <c r="G51" s="4" t="s">
        <v>251</v>
      </c>
      <c r="H51" s="4" t="s">
        <v>128</v>
      </c>
      <c r="I51" s="4" t="s">
        <v>252</v>
      </c>
      <c r="J51" s="4">
        <v>100.0</v>
      </c>
      <c r="K51" s="4" t="s">
        <v>21</v>
      </c>
      <c r="Y51" s="5" t="str">
        <f t="shared" si="1"/>
        <v>22, 23</v>
      </c>
      <c r="AA51" s="5">
        <f t="shared" si="2"/>
        <v>1</v>
      </c>
    </row>
    <row r="52">
      <c r="A52" s="4" t="s">
        <v>253</v>
      </c>
      <c r="B52" s="4" t="s">
        <v>254</v>
      </c>
      <c r="C52" s="4" t="s">
        <v>128</v>
      </c>
      <c r="D52" s="4">
        <v>25.0</v>
      </c>
      <c r="E52" s="4" t="s">
        <v>255</v>
      </c>
      <c r="F52" s="4" t="s">
        <v>88</v>
      </c>
      <c r="G52" s="4" t="s">
        <v>256</v>
      </c>
      <c r="H52" s="4" t="s">
        <v>128</v>
      </c>
      <c r="I52" s="4" t="s">
        <v>257</v>
      </c>
      <c r="J52" s="4">
        <v>100.0</v>
      </c>
      <c r="K52" s="4" t="s">
        <v>21</v>
      </c>
      <c r="Y52" s="5" t="str">
        <f t="shared" si="1"/>
        <v>25</v>
      </c>
      <c r="AA52" s="5">
        <f t="shared" si="2"/>
        <v>1</v>
      </c>
    </row>
    <row r="53">
      <c r="A53" s="4" t="s">
        <v>258</v>
      </c>
      <c r="B53" s="4" t="s">
        <v>259</v>
      </c>
      <c r="C53" s="4" t="s">
        <v>128</v>
      </c>
      <c r="D53" s="4">
        <v>29.0</v>
      </c>
      <c r="E53" s="4" t="s">
        <v>260</v>
      </c>
      <c r="F53" s="4" t="s">
        <v>18</v>
      </c>
      <c r="G53" s="4" t="s">
        <v>261</v>
      </c>
      <c r="H53" s="4" t="s">
        <v>128</v>
      </c>
      <c r="I53" s="4" t="s">
        <v>262</v>
      </c>
      <c r="J53" s="4">
        <v>100.0</v>
      </c>
      <c r="K53" s="4" t="s">
        <v>21</v>
      </c>
      <c r="Y53" s="5" t="str">
        <f t="shared" si="1"/>
        <v>29, 30</v>
      </c>
      <c r="AA53" s="5">
        <f t="shared" si="2"/>
        <v>1</v>
      </c>
    </row>
    <row r="54">
      <c r="A54" s="4" t="s">
        <v>263</v>
      </c>
      <c r="B54" s="4" t="s">
        <v>264</v>
      </c>
      <c r="C54" s="4" t="s">
        <v>128</v>
      </c>
      <c r="D54" s="4">
        <v>31.0</v>
      </c>
      <c r="E54" s="4" t="s">
        <v>265</v>
      </c>
      <c r="F54" s="4" t="s">
        <v>18</v>
      </c>
      <c r="G54" s="4" t="s">
        <v>266</v>
      </c>
      <c r="H54" s="4" t="s">
        <v>128</v>
      </c>
      <c r="I54" s="4" t="s">
        <v>209</v>
      </c>
      <c r="J54" s="4">
        <v>100.0</v>
      </c>
      <c r="K54" s="4" t="s">
        <v>21</v>
      </c>
      <c r="Y54" s="5" t="str">
        <f t="shared" si="1"/>
        <v>30, 31</v>
      </c>
      <c r="AA54" s="5">
        <f t="shared" si="2"/>
        <v>1</v>
      </c>
    </row>
    <row r="55">
      <c r="A55" s="4" t="s">
        <v>267</v>
      </c>
      <c r="B55" s="4" t="s">
        <v>268</v>
      </c>
      <c r="C55" s="4" t="s">
        <v>128</v>
      </c>
      <c r="D55" s="4">
        <v>33.0</v>
      </c>
      <c r="E55" s="4" t="s">
        <v>269</v>
      </c>
      <c r="F55" s="4" t="s">
        <v>18</v>
      </c>
      <c r="G55" s="4" t="s">
        <v>270</v>
      </c>
      <c r="H55" s="4" t="s">
        <v>128</v>
      </c>
      <c r="I55" s="4" t="s">
        <v>271</v>
      </c>
      <c r="J55" s="4">
        <v>95.0</v>
      </c>
      <c r="K55" s="4" t="s">
        <v>21</v>
      </c>
      <c r="Y55" s="5" t="str">
        <f t="shared" si="1"/>
        <v>32, 137</v>
      </c>
      <c r="AA55" s="5">
        <f t="shared" si="2"/>
        <v>1</v>
      </c>
    </row>
    <row r="56">
      <c r="A56" s="4" t="s">
        <v>272</v>
      </c>
      <c r="B56" s="4" t="s">
        <v>273</v>
      </c>
      <c r="C56" s="4" t="s">
        <v>128</v>
      </c>
      <c r="D56" s="4">
        <v>38.0</v>
      </c>
      <c r="E56" s="4" t="s">
        <v>274</v>
      </c>
      <c r="F56" s="4" t="s">
        <v>88</v>
      </c>
      <c r="G56" s="4" t="s">
        <v>275</v>
      </c>
      <c r="H56" s="4" t="s">
        <v>128</v>
      </c>
      <c r="I56" s="4" t="s">
        <v>276</v>
      </c>
      <c r="J56" s="4">
        <v>100.0</v>
      </c>
      <c r="K56" s="4" t="s">
        <v>21</v>
      </c>
      <c r="Y56" s="5" t="str">
        <f t="shared" si="1"/>
        <v>37, 38</v>
      </c>
      <c r="AA56" s="5">
        <f t="shared" si="2"/>
        <v>1</v>
      </c>
    </row>
    <row r="57">
      <c r="A57" s="4" t="s">
        <v>277</v>
      </c>
      <c r="B57" s="4" t="s">
        <v>278</v>
      </c>
      <c r="C57" s="4" t="s">
        <v>128</v>
      </c>
      <c r="D57" s="4">
        <v>58.0</v>
      </c>
      <c r="E57" s="4" t="s">
        <v>279</v>
      </c>
      <c r="F57" s="4" t="s">
        <v>18</v>
      </c>
      <c r="G57" s="4" t="s">
        <v>280</v>
      </c>
      <c r="H57" s="4" t="s">
        <v>128</v>
      </c>
      <c r="I57" s="4" t="s">
        <v>281</v>
      </c>
      <c r="J57" s="4">
        <v>100.0</v>
      </c>
      <c r="K57" s="4" t="s">
        <v>21</v>
      </c>
      <c r="Y57" s="5" t="str">
        <f t="shared" si="1"/>
        <v>58</v>
      </c>
      <c r="AA57" s="5">
        <f t="shared" si="2"/>
        <v>1</v>
      </c>
    </row>
    <row r="58">
      <c r="A58" s="4" t="s">
        <v>282</v>
      </c>
      <c r="B58" s="4" t="s">
        <v>283</v>
      </c>
      <c r="C58" s="4" t="s">
        <v>128</v>
      </c>
      <c r="D58" s="4">
        <v>63.0</v>
      </c>
      <c r="E58" s="4" t="s">
        <v>284</v>
      </c>
      <c r="F58" s="4" t="s">
        <v>18</v>
      </c>
      <c r="G58" s="4" t="s">
        <v>285</v>
      </c>
      <c r="H58" s="4" t="s">
        <v>128</v>
      </c>
      <c r="I58" s="4" t="s">
        <v>58</v>
      </c>
      <c r="J58" s="4">
        <v>100.0</v>
      </c>
      <c r="K58" s="4" t="s">
        <v>21</v>
      </c>
      <c r="Y58" s="5" t="str">
        <f t="shared" si="1"/>
        <v>63</v>
      </c>
      <c r="AA58" s="5">
        <f t="shared" si="2"/>
        <v>1</v>
      </c>
    </row>
    <row r="59">
      <c r="A59" s="4" t="s">
        <v>286</v>
      </c>
      <c r="B59" s="4" t="s">
        <v>287</v>
      </c>
      <c r="C59" s="4" t="s">
        <v>128</v>
      </c>
      <c r="D59" s="4">
        <v>69.0</v>
      </c>
      <c r="E59" s="4" t="s">
        <v>288</v>
      </c>
      <c r="F59" s="4" t="s">
        <v>88</v>
      </c>
      <c r="G59" s="4" t="s">
        <v>289</v>
      </c>
      <c r="H59" s="4" t="s">
        <v>128</v>
      </c>
      <c r="I59" s="4" t="s">
        <v>290</v>
      </c>
      <c r="J59" s="4">
        <v>100.0</v>
      </c>
      <c r="K59" s="4" t="s">
        <v>21</v>
      </c>
      <c r="Y59" s="5" t="str">
        <f t="shared" si="1"/>
        <v>69</v>
      </c>
      <c r="AA59" s="5">
        <f t="shared" si="2"/>
        <v>1</v>
      </c>
    </row>
    <row r="60">
      <c r="A60" s="4" t="s">
        <v>291</v>
      </c>
      <c r="B60" s="4" t="s">
        <v>292</v>
      </c>
      <c r="C60" s="4" t="s">
        <v>128</v>
      </c>
      <c r="D60" s="4">
        <v>76.0</v>
      </c>
      <c r="E60" s="4" t="s">
        <v>36</v>
      </c>
      <c r="F60" s="4" t="s">
        <v>18</v>
      </c>
      <c r="G60" s="4" t="s">
        <v>293</v>
      </c>
      <c r="H60" s="4" t="s">
        <v>294</v>
      </c>
      <c r="I60" s="4" t="s">
        <v>123</v>
      </c>
      <c r="J60" s="4">
        <v>100.0</v>
      </c>
      <c r="K60" s="4" t="s">
        <v>21</v>
      </c>
      <c r="Y60" s="5" t="str">
        <f t="shared" si="1"/>
        <v>2</v>
      </c>
      <c r="AA60" s="5">
        <f t="shared" si="2"/>
        <v>0</v>
      </c>
    </row>
    <row r="61">
      <c r="A61" s="4" t="s">
        <v>295</v>
      </c>
      <c r="B61" s="4" t="s">
        <v>296</v>
      </c>
      <c r="C61" s="4" t="s">
        <v>128</v>
      </c>
      <c r="D61" s="4">
        <v>18.0</v>
      </c>
      <c r="E61" s="4" t="s">
        <v>238</v>
      </c>
      <c r="F61" s="4" t="s">
        <v>88</v>
      </c>
      <c r="G61" s="4" t="s">
        <v>297</v>
      </c>
      <c r="H61" s="4" t="s">
        <v>128</v>
      </c>
      <c r="I61" s="4" t="s">
        <v>298</v>
      </c>
      <c r="J61" s="4">
        <v>100.0</v>
      </c>
      <c r="K61" s="4" t="s">
        <v>21</v>
      </c>
      <c r="Y61" s="5" t="str">
        <f t="shared" si="1"/>
        <v>18</v>
      </c>
      <c r="AA61" s="5">
        <f t="shared" si="2"/>
        <v>1</v>
      </c>
    </row>
    <row r="62">
      <c r="A62" s="4" t="s">
        <v>299</v>
      </c>
      <c r="B62" s="4" t="s">
        <v>300</v>
      </c>
      <c r="C62" s="4" t="s">
        <v>294</v>
      </c>
      <c r="D62" s="4">
        <v>1.0</v>
      </c>
      <c r="E62" s="4" t="s">
        <v>301</v>
      </c>
      <c r="F62" s="4" t="s">
        <v>18</v>
      </c>
      <c r="G62" s="4" t="s">
        <v>302</v>
      </c>
      <c r="H62" s="4" t="s">
        <v>294</v>
      </c>
      <c r="I62" s="4" t="s">
        <v>39</v>
      </c>
      <c r="J62" s="4">
        <v>100.0</v>
      </c>
      <c r="K62" s="4" t="s">
        <v>21</v>
      </c>
      <c r="Y62" s="5" t="str">
        <f t="shared" si="1"/>
        <v>1</v>
      </c>
      <c r="AA62" s="5">
        <f t="shared" si="2"/>
        <v>1</v>
      </c>
    </row>
    <row r="63">
      <c r="A63" s="4" t="s">
        <v>303</v>
      </c>
      <c r="B63" s="4" t="s">
        <v>304</v>
      </c>
      <c r="C63" s="4" t="s">
        <v>294</v>
      </c>
      <c r="D63" s="4">
        <v>2.0</v>
      </c>
      <c r="E63" s="4" t="s">
        <v>301</v>
      </c>
      <c r="F63" s="4" t="s">
        <v>18</v>
      </c>
      <c r="G63" s="4" t="s">
        <v>305</v>
      </c>
      <c r="H63" s="4" t="s">
        <v>294</v>
      </c>
      <c r="I63" s="4" t="s">
        <v>306</v>
      </c>
      <c r="J63" s="4">
        <v>100.0</v>
      </c>
      <c r="K63" s="4" t="s">
        <v>21</v>
      </c>
      <c r="Y63" s="5" t="str">
        <f t="shared" si="1"/>
        <v>2, 16, 19</v>
      </c>
      <c r="AA63" s="5">
        <f t="shared" si="2"/>
        <v>1</v>
      </c>
    </row>
    <row r="64">
      <c r="A64" s="4" t="s">
        <v>307</v>
      </c>
      <c r="B64" s="4" t="s">
        <v>308</v>
      </c>
      <c r="C64" s="4" t="s">
        <v>294</v>
      </c>
      <c r="D64" s="4">
        <v>4.0</v>
      </c>
      <c r="E64" s="4" t="s">
        <v>309</v>
      </c>
      <c r="F64" s="4" t="s">
        <v>18</v>
      </c>
      <c r="G64" s="4" t="s">
        <v>310</v>
      </c>
      <c r="H64" s="4" t="s">
        <v>294</v>
      </c>
      <c r="I64" s="4" t="s">
        <v>139</v>
      </c>
      <c r="J64" s="4">
        <v>100.0</v>
      </c>
      <c r="K64" s="4" t="s">
        <v>21</v>
      </c>
      <c r="Y64" s="5" t="str">
        <f t="shared" si="1"/>
        <v>4</v>
      </c>
      <c r="AA64" s="5">
        <f t="shared" si="2"/>
        <v>1</v>
      </c>
    </row>
    <row r="65">
      <c r="A65" s="4" t="s">
        <v>311</v>
      </c>
      <c r="B65" s="4" t="s">
        <v>300</v>
      </c>
      <c r="C65" s="4" t="s">
        <v>294</v>
      </c>
      <c r="D65" s="4">
        <v>5.0</v>
      </c>
      <c r="E65" s="4" t="s">
        <v>269</v>
      </c>
      <c r="F65" s="4" t="s">
        <v>18</v>
      </c>
      <c r="G65" s="4" t="s">
        <v>312</v>
      </c>
      <c r="H65" s="4" t="s">
        <v>294</v>
      </c>
      <c r="I65" s="4" t="s">
        <v>139</v>
      </c>
      <c r="J65" s="4">
        <v>95.0</v>
      </c>
      <c r="K65" s="4" t="s">
        <v>21</v>
      </c>
      <c r="Y65" s="5" t="str">
        <f t="shared" si="1"/>
        <v>4</v>
      </c>
      <c r="AA65" s="5">
        <f t="shared" si="2"/>
        <v>1</v>
      </c>
    </row>
    <row r="66">
      <c r="A66" s="4" t="s">
        <v>313</v>
      </c>
      <c r="B66" s="4" t="s">
        <v>314</v>
      </c>
      <c r="C66" s="4" t="s">
        <v>294</v>
      </c>
      <c r="D66" s="4">
        <v>6.0</v>
      </c>
      <c r="E66" s="4" t="s">
        <v>315</v>
      </c>
      <c r="F66" s="4" t="s">
        <v>88</v>
      </c>
      <c r="G66" s="4" t="s">
        <v>316</v>
      </c>
      <c r="H66" s="4" t="s">
        <v>294</v>
      </c>
      <c r="I66" s="4" t="s">
        <v>317</v>
      </c>
      <c r="J66" s="4">
        <v>100.0</v>
      </c>
      <c r="K66" s="4" t="s">
        <v>21</v>
      </c>
      <c r="Y66" s="5" t="str">
        <f t="shared" si="1"/>
        <v>6, 7</v>
      </c>
      <c r="AA66" s="5">
        <f t="shared" si="2"/>
        <v>1</v>
      </c>
    </row>
    <row r="67">
      <c r="A67" s="4" t="s">
        <v>318</v>
      </c>
      <c r="B67" s="4" t="s">
        <v>319</v>
      </c>
      <c r="C67" s="4" t="s">
        <v>294</v>
      </c>
      <c r="D67" s="4">
        <v>8.0</v>
      </c>
      <c r="E67" s="4" t="s">
        <v>274</v>
      </c>
      <c r="F67" s="4" t="s">
        <v>18</v>
      </c>
      <c r="G67" s="4" t="s">
        <v>320</v>
      </c>
      <c r="H67" s="4" t="s">
        <v>294</v>
      </c>
      <c r="I67" s="4" t="s">
        <v>218</v>
      </c>
      <c r="J67" s="4">
        <v>100.0</v>
      </c>
      <c r="K67" s="4" t="s">
        <v>21</v>
      </c>
      <c r="Y67" s="5" t="str">
        <f t="shared" si="1"/>
        <v>8</v>
      </c>
      <c r="AA67" s="5">
        <f t="shared" si="2"/>
        <v>1</v>
      </c>
    </row>
    <row r="68">
      <c r="A68" s="4" t="s">
        <v>321</v>
      </c>
      <c r="B68" s="4" t="s">
        <v>322</v>
      </c>
      <c r="C68" s="4" t="s">
        <v>294</v>
      </c>
      <c r="D68" s="4">
        <v>11.0</v>
      </c>
      <c r="E68" s="4" t="s">
        <v>323</v>
      </c>
      <c r="F68" s="4" t="s">
        <v>88</v>
      </c>
      <c r="G68" s="4" t="s">
        <v>324</v>
      </c>
      <c r="H68" s="4" t="s">
        <v>294</v>
      </c>
      <c r="I68" s="4" t="s">
        <v>325</v>
      </c>
      <c r="J68" s="4">
        <v>98.0</v>
      </c>
      <c r="K68" s="4" t="s">
        <v>21</v>
      </c>
      <c r="Y68" s="5" t="str">
        <f t="shared" si="1"/>
        <v>10, 11</v>
      </c>
      <c r="AA68" s="5">
        <f t="shared" si="2"/>
        <v>1</v>
      </c>
    </row>
    <row r="69">
      <c r="A69" s="4" t="s">
        <v>326</v>
      </c>
      <c r="B69" s="4" t="s">
        <v>327</v>
      </c>
      <c r="C69" s="4" t="s">
        <v>294</v>
      </c>
      <c r="D69" s="4">
        <v>12.0</v>
      </c>
      <c r="E69" s="4" t="s">
        <v>328</v>
      </c>
      <c r="F69" s="4" t="s">
        <v>18</v>
      </c>
      <c r="G69" s="4" t="s">
        <v>329</v>
      </c>
      <c r="H69" s="4" t="s">
        <v>294</v>
      </c>
      <c r="I69" s="4" t="s">
        <v>330</v>
      </c>
      <c r="J69" s="4">
        <v>100.0</v>
      </c>
      <c r="K69" s="4" t="s">
        <v>21</v>
      </c>
      <c r="Y69" s="5" t="str">
        <f t="shared" si="1"/>
        <v>12</v>
      </c>
      <c r="AA69" s="5">
        <f t="shared" si="2"/>
        <v>1</v>
      </c>
    </row>
    <row r="70">
      <c r="A70" s="4" t="s">
        <v>331</v>
      </c>
      <c r="B70" s="4" t="s">
        <v>332</v>
      </c>
      <c r="C70" s="4" t="s">
        <v>294</v>
      </c>
      <c r="D70" s="4">
        <v>13.0</v>
      </c>
      <c r="E70" s="4" t="s">
        <v>333</v>
      </c>
      <c r="F70" s="4" t="s">
        <v>18</v>
      </c>
      <c r="G70" s="4" t="s">
        <v>334</v>
      </c>
      <c r="H70" s="4" t="s">
        <v>294</v>
      </c>
      <c r="I70" s="4" t="s">
        <v>335</v>
      </c>
      <c r="J70" s="4">
        <v>100.0</v>
      </c>
      <c r="K70" s="4" t="s">
        <v>21</v>
      </c>
      <c r="Y70" s="5" t="str">
        <f t="shared" si="1"/>
        <v>13</v>
      </c>
      <c r="AA70" s="5">
        <f t="shared" si="2"/>
        <v>1</v>
      </c>
    </row>
    <row r="71">
      <c r="A71" s="4" t="s">
        <v>336</v>
      </c>
      <c r="B71" s="4" t="s">
        <v>337</v>
      </c>
      <c r="C71" s="4" t="s">
        <v>294</v>
      </c>
      <c r="D71" s="4">
        <v>4.0</v>
      </c>
      <c r="E71" s="4" t="s">
        <v>309</v>
      </c>
      <c r="F71" s="4" t="s">
        <v>88</v>
      </c>
      <c r="G71" s="4" t="s">
        <v>338</v>
      </c>
      <c r="H71" s="4" t="s">
        <v>294</v>
      </c>
      <c r="I71" s="4" t="s">
        <v>139</v>
      </c>
      <c r="J71" s="4">
        <v>100.0</v>
      </c>
      <c r="K71" s="4" t="s">
        <v>21</v>
      </c>
      <c r="Y71" s="5" t="str">
        <f t="shared" si="1"/>
        <v>4</v>
      </c>
      <c r="AA71" s="5">
        <f t="shared" si="2"/>
        <v>1</v>
      </c>
    </row>
    <row r="72">
      <c r="A72" s="4" t="s">
        <v>339</v>
      </c>
      <c r="B72" s="4" t="s">
        <v>332</v>
      </c>
      <c r="C72" s="4" t="s">
        <v>294</v>
      </c>
      <c r="D72" s="4">
        <v>14.0</v>
      </c>
      <c r="E72" s="4" t="s">
        <v>340</v>
      </c>
      <c r="F72" s="4" t="s">
        <v>18</v>
      </c>
      <c r="G72" s="4" t="s">
        <v>341</v>
      </c>
      <c r="H72" s="4" t="s">
        <v>294</v>
      </c>
      <c r="I72" s="4" t="s">
        <v>20</v>
      </c>
      <c r="J72" s="4">
        <v>100.0</v>
      </c>
      <c r="K72" s="4" t="s">
        <v>21</v>
      </c>
      <c r="Y72" s="5" t="str">
        <f t="shared" si="1"/>
        <v>14</v>
      </c>
      <c r="AA72" s="5">
        <f t="shared" si="2"/>
        <v>1</v>
      </c>
    </row>
    <row r="73">
      <c r="A73" s="4" t="s">
        <v>342</v>
      </c>
      <c r="B73" s="4" t="s">
        <v>343</v>
      </c>
      <c r="C73" s="4" t="s">
        <v>294</v>
      </c>
      <c r="D73" s="4">
        <v>15.0</v>
      </c>
      <c r="E73" s="4" t="s">
        <v>344</v>
      </c>
      <c r="F73" s="4" t="s">
        <v>18</v>
      </c>
      <c r="G73" s="4" t="s">
        <v>345</v>
      </c>
      <c r="H73" s="4" t="s">
        <v>294</v>
      </c>
      <c r="I73" s="4" t="s">
        <v>191</v>
      </c>
      <c r="J73" s="4">
        <v>100.0</v>
      </c>
      <c r="K73" s="4" t="s">
        <v>21</v>
      </c>
      <c r="Y73" s="5" t="str">
        <f t="shared" si="1"/>
        <v>15</v>
      </c>
      <c r="AA73" s="5">
        <f t="shared" si="2"/>
        <v>1</v>
      </c>
    </row>
    <row r="74">
      <c r="A74" s="4" t="s">
        <v>346</v>
      </c>
      <c r="B74" s="4" t="s">
        <v>347</v>
      </c>
      <c r="C74" s="4" t="s">
        <v>294</v>
      </c>
      <c r="D74" s="4">
        <v>16.0</v>
      </c>
      <c r="E74" s="4" t="s">
        <v>348</v>
      </c>
      <c r="F74" s="4" t="s">
        <v>18</v>
      </c>
      <c r="G74" s="4" t="s">
        <v>349</v>
      </c>
      <c r="H74" s="4" t="s">
        <v>128</v>
      </c>
      <c r="I74" s="4" t="s">
        <v>350</v>
      </c>
      <c r="J74" s="4">
        <v>95.0</v>
      </c>
      <c r="K74" s="4" t="s">
        <v>21</v>
      </c>
      <c r="Y74" s="5" t="str">
        <f t="shared" si="1"/>
        <v>19, 225</v>
      </c>
      <c r="AA74" s="5">
        <f t="shared" si="2"/>
        <v>0</v>
      </c>
    </row>
    <row r="75">
      <c r="A75" s="4" t="s">
        <v>351</v>
      </c>
      <c r="B75" s="4" t="s">
        <v>352</v>
      </c>
      <c r="C75" s="4" t="s">
        <v>294</v>
      </c>
      <c r="D75" s="4">
        <v>16.0</v>
      </c>
      <c r="E75" s="4" t="s">
        <v>353</v>
      </c>
      <c r="F75" s="4" t="s">
        <v>18</v>
      </c>
      <c r="G75" s="4" t="s">
        <v>354</v>
      </c>
      <c r="H75" s="4" t="s">
        <v>294</v>
      </c>
      <c r="I75" s="4" t="s">
        <v>204</v>
      </c>
      <c r="J75" s="4">
        <v>100.0</v>
      </c>
      <c r="K75" s="4" t="s">
        <v>21</v>
      </c>
      <c r="Y75" s="5" t="str">
        <f t="shared" si="1"/>
        <v>16</v>
      </c>
      <c r="AA75" s="5">
        <f t="shared" si="2"/>
        <v>1</v>
      </c>
    </row>
    <row r="76">
      <c r="A76" s="4" t="s">
        <v>355</v>
      </c>
      <c r="B76" s="4" t="s">
        <v>356</v>
      </c>
      <c r="C76" s="4" t="s">
        <v>294</v>
      </c>
      <c r="D76" s="4">
        <v>14.0</v>
      </c>
      <c r="E76" s="4" t="s">
        <v>189</v>
      </c>
      <c r="F76" s="4" t="s">
        <v>88</v>
      </c>
      <c r="G76" s="4" t="s">
        <v>357</v>
      </c>
      <c r="H76" s="4" t="s">
        <v>294</v>
      </c>
      <c r="I76" s="4" t="s">
        <v>20</v>
      </c>
      <c r="J76" s="4">
        <v>100.0</v>
      </c>
      <c r="K76" s="4" t="s">
        <v>21</v>
      </c>
      <c r="Y76" s="5" t="str">
        <f t="shared" si="1"/>
        <v>14</v>
      </c>
      <c r="AA76" s="5">
        <f t="shared" si="2"/>
        <v>1</v>
      </c>
    </row>
    <row r="77">
      <c r="A77" s="4" t="s">
        <v>358</v>
      </c>
      <c r="B77" s="4" t="s">
        <v>359</v>
      </c>
      <c r="C77" s="4" t="s">
        <v>294</v>
      </c>
      <c r="D77" s="4">
        <v>17.0</v>
      </c>
      <c r="E77" s="4" t="s">
        <v>360</v>
      </c>
      <c r="F77" s="4" t="s">
        <v>18</v>
      </c>
      <c r="G77" s="4" t="s">
        <v>361</v>
      </c>
      <c r="H77" s="4" t="s">
        <v>294</v>
      </c>
      <c r="I77" s="4" t="s">
        <v>196</v>
      </c>
      <c r="J77" s="4">
        <v>100.0</v>
      </c>
      <c r="K77" s="4" t="s">
        <v>21</v>
      </c>
      <c r="Y77" s="5" t="str">
        <f t="shared" si="1"/>
        <v>17</v>
      </c>
      <c r="AA77" s="5">
        <f t="shared" si="2"/>
        <v>1</v>
      </c>
    </row>
    <row r="78">
      <c r="A78" s="4" t="s">
        <v>362</v>
      </c>
      <c r="B78" s="4" t="s">
        <v>363</v>
      </c>
      <c r="C78" s="4" t="s">
        <v>294</v>
      </c>
      <c r="D78" s="4">
        <v>16.0</v>
      </c>
      <c r="E78" s="4" t="s">
        <v>364</v>
      </c>
      <c r="F78" s="4" t="s">
        <v>18</v>
      </c>
      <c r="G78" s="4" t="s">
        <v>365</v>
      </c>
      <c r="H78" s="4" t="s">
        <v>294</v>
      </c>
      <c r="I78" s="4" t="s">
        <v>204</v>
      </c>
      <c r="J78" s="4">
        <v>100.0</v>
      </c>
      <c r="K78" s="4" t="s">
        <v>21</v>
      </c>
      <c r="Y78" s="5" t="str">
        <f t="shared" si="1"/>
        <v>16</v>
      </c>
      <c r="AA78" s="5">
        <f t="shared" si="2"/>
        <v>1</v>
      </c>
    </row>
    <row r="79">
      <c r="A79" s="4" t="s">
        <v>366</v>
      </c>
      <c r="B79" s="4" t="s">
        <v>367</v>
      </c>
      <c r="C79" s="4" t="s">
        <v>294</v>
      </c>
      <c r="D79" s="4">
        <v>16.0</v>
      </c>
      <c r="E79" s="4" t="s">
        <v>348</v>
      </c>
      <c r="F79" s="4" t="s">
        <v>18</v>
      </c>
      <c r="G79" s="4" t="s">
        <v>368</v>
      </c>
      <c r="H79" s="4" t="s">
        <v>115</v>
      </c>
      <c r="I79" s="4" t="s">
        <v>369</v>
      </c>
      <c r="J79" s="4">
        <v>0.0</v>
      </c>
      <c r="K79" s="4" t="s">
        <v>23</v>
      </c>
      <c r="Y79" s="5" t="str">
        <f t="shared" si="1"/>
        <v>14, 15, 16</v>
      </c>
      <c r="AA79" s="5">
        <f t="shared" si="2"/>
        <v>1</v>
      </c>
    </row>
    <row r="80">
      <c r="A80" s="4" t="s">
        <v>370</v>
      </c>
      <c r="B80" s="4" t="s">
        <v>371</v>
      </c>
      <c r="C80" s="4" t="s">
        <v>294</v>
      </c>
      <c r="D80" s="6">
        <v>46070.0</v>
      </c>
      <c r="E80" s="4" t="s">
        <v>372</v>
      </c>
      <c r="F80" s="4" t="s">
        <v>88</v>
      </c>
      <c r="G80" s="4" t="s">
        <v>373</v>
      </c>
      <c r="H80" s="4" t="s">
        <v>294</v>
      </c>
      <c r="I80" s="4" t="s">
        <v>374</v>
      </c>
      <c r="J80" s="4">
        <v>100.0</v>
      </c>
      <c r="K80" s="4" t="s">
        <v>21</v>
      </c>
      <c r="Y80" s="5" t="str">
        <f t="shared" si="1"/>
        <v>2, 17</v>
      </c>
      <c r="AA80" s="5">
        <f t="shared" si="2"/>
        <v>0</v>
      </c>
    </row>
    <row r="81">
      <c r="A81" s="4" t="s">
        <v>375</v>
      </c>
      <c r="B81" s="4" t="s">
        <v>319</v>
      </c>
      <c r="C81" s="4" t="s">
        <v>294</v>
      </c>
      <c r="D81" s="4">
        <v>18.0</v>
      </c>
      <c r="E81" s="4" t="s">
        <v>376</v>
      </c>
      <c r="F81" s="4" t="s">
        <v>18</v>
      </c>
      <c r="G81" s="4" t="s">
        <v>377</v>
      </c>
      <c r="H81" s="4" t="s">
        <v>294</v>
      </c>
      <c r="I81" s="4" t="s">
        <v>298</v>
      </c>
      <c r="J81" s="4">
        <v>100.0</v>
      </c>
      <c r="K81" s="4" t="s">
        <v>21</v>
      </c>
      <c r="Y81" s="5" t="str">
        <f t="shared" si="1"/>
        <v>18</v>
      </c>
      <c r="AA81" s="5">
        <f t="shared" si="2"/>
        <v>1</v>
      </c>
    </row>
    <row r="82">
      <c r="A82" s="4" t="s">
        <v>378</v>
      </c>
      <c r="B82" s="4" t="s">
        <v>379</v>
      </c>
      <c r="C82" s="4" t="s">
        <v>38</v>
      </c>
      <c r="D82" s="4">
        <v>1.0</v>
      </c>
      <c r="E82" s="4" t="s">
        <v>184</v>
      </c>
      <c r="F82" s="4" t="s">
        <v>18</v>
      </c>
      <c r="G82" s="4" t="s">
        <v>380</v>
      </c>
      <c r="H82" s="4" t="s">
        <v>38</v>
      </c>
      <c r="I82" s="4" t="s">
        <v>39</v>
      </c>
      <c r="J82" s="4">
        <v>100.0</v>
      </c>
      <c r="K82" s="4" t="s">
        <v>21</v>
      </c>
      <c r="Y82" s="5" t="str">
        <f t="shared" si="1"/>
        <v>1</v>
      </c>
      <c r="AA82" s="5">
        <f t="shared" si="2"/>
        <v>1</v>
      </c>
    </row>
    <row r="83">
      <c r="A83" s="4" t="s">
        <v>381</v>
      </c>
      <c r="B83" s="4" t="s">
        <v>382</v>
      </c>
      <c r="C83" s="4" t="s">
        <v>38</v>
      </c>
      <c r="D83" s="4">
        <v>1.0</v>
      </c>
      <c r="E83" s="4" t="s">
        <v>383</v>
      </c>
      <c r="F83" s="4" t="s">
        <v>18</v>
      </c>
      <c r="G83" s="4" t="s">
        <v>384</v>
      </c>
      <c r="H83" s="4" t="s">
        <v>38</v>
      </c>
      <c r="I83" s="4" t="s">
        <v>39</v>
      </c>
      <c r="J83" s="4">
        <v>100.0</v>
      </c>
      <c r="K83" s="4" t="s">
        <v>21</v>
      </c>
      <c r="Y83" s="5" t="str">
        <f t="shared" si="1"/>
        <v>1</v>
      </c>
      <c r="AA83" s="5">
        <f t="shared" si="2"/>
        <v>1</v>
      </c>
    </row>
    <row r="84">
      <c r="A84" s="4" t="s">
        <v>385</v>
      </c>
      <c r="B84" s="4" t="s">
        <v>386</v>
      </c>
      <c r="C84" s="4" t="s">
        <v>38</v>
      </c>
      <c r="D84" s="6">
        <v>46024.0</v>
      </c>
      <c r="E84" s="4" t="s">
        <v>387</v>
      </c>
      <c r="F84" s="4" t="s">
        <v>18</v>
      </c>
      <c r="G84" s="4" t="s">
        <v>388</v>
      </c>
      <c r="H84" s="4" t="s">
        <v>38</v>
      </c>
      <c r="I84" s="4" t="s">
        <v>118</v>
      </c>
      <c r="J84" s="4">
        <v>100.0</v>
      </c>
      <c r="K84" s="4" t="s">
        <v>21</v>
      </c>
      <c r="Y84" s="5" t="str">
        <f t="shared" si="1"/>
        <v>1, 2</v>
      </c>
      <c r="AA84" s="5">
        <f t="shared" si="2"/>
        <v>0</v>
      </c>
    </row>
    <row r="85">
      <c r="A85" s="4" t="s">
        <v>389</v>
      </c>
      <c r="B85" s="4" t="s">
        <v>390</v>
      </c>
      <c r="C85" s="4" t="s">
        <v>38</v>
      </c>
      <c r="D85" s="6">
        <v>46061.0</v>
      </c>
      <c r="E85" s="4" t="s">
        <v>391</v>
      </c>
      <c r="F85" s="4" t="s">
        <v>18</v>
      </c>
      <c r="G85" s="4" t="s">
        <v>392</v>
      </c>
      <c r="H85" s="4" t="s">
        <v>16</v>
      </c>
      <c r="I85" s="4" t="s">
        <v>393</v>
      </c>
      <c r="J85" s="4">
        <v>75.0</v>
      </c>
      <c r="K85" s="4" t="s">
        <v>22</v>
      </c>
      <c r="Y85" s="5" t="str">
        <f t="shared" si="1"/>
        <v>16, 150, 152</v>
      </c>
      <c r="AA85" s="5">
        <f t="shared" si="2"/>
        <v>0</v>
      </c>
    </row>
    <row r="86">
      <c r="A86" s="4" t="s">
        <v>394</v>
      </c>
      <c r="B86" s="4" t="s">
        <v>395</v>
      </c>
      <c r="C86" s="4" t="s">
        <v>38</v>
      </c>
      <c r="D86" s="4">
        <v>2.0</v>
      </c>
      <c r="E86" s="4" t="s">
        <v>396</v>
      </c>
      <c r="F86" s="4" t="s">
        <v>18</v>
      </c>
      <c r="G86" s="4" t="s">
        <v>397</v>
      </c>
      <c r="H86" s="4" t="s">
        <v>38</v>
      </c>
      <c r="I86" s="4" t="s">
        <v>123</v>
      </c>
      <c r="J86" s="4">
        <v>100.0</v>
      </c>
      <c r="K86" s="4" t="s">
        <v>21</v>
      </c>
      <c r="Y86" s="5" t="str">
        <f t="shared" si="1"/>
        <v>2</v>
      </c>
      <c r="AA86" s="5">
        <f t="shared" si="2"/>
        <v>1</v>
      </c>
    </row>
    <row r="87">
      <c r="A87" s="4" t="s">
        <v>398</v>
      </c>
      <c r="B87" s="4" t="s">
        <v>399</v>
      </c>
      <c r="C87" s="4" t="s">
        <v>38</v>
      </c>
      <c r="D87" s="4">
        <v>2.0</v>
      </c>
      <c r="E87" s="4" t="s">
        <v>400</v>
      </c>
      <c r="F87" s="4" t="s">
        <v>88</v>
      </c>
      <c r="G87" s="4" t="s">
        <v>401</v>
      </c>
      <c r="H87" s="4" t="s">
        <v>38</v>
      </c>
      <c r="I87" s="4" t="s">
        <v>402</v>
      </c>
      <c r="J87" s="4">
        <v>100.0</v>
      </c>
      <c r="K87" s="4" t="s">
        <v>21</v>
      </c>
      <c r="Y87" s="5" t="str">
        <f t="shared" si="1"/>
        <v>2, 13</v>
      </c>
      <c r="AA87" s="5">
        <f t="shared" si="2"/>
        <v>1</v>
      </c>
    </row>
    <row r="88">
      <c r="A88" s="4" t="s">
        <v>403</v>
      </c>
      <c r="B88" s="4" t="s">
        <v>404</v>
      </c>
      <c r="C88" s="4" t="s">
        <v>38</v>
      </c>
      <c r="D88" s="4">
        <v>3.0</v>
      </c>
      <c r="E88" s="4" t="s">
        <v>71</v>
      </c>
      <c r="F88" s="4" t="s">
        <v>88</v>
      </c>
      <c r="G88" s="4" t="s">
        <v>405</v>
      </c>
      <c r="H88" s="4" t="s">
        <v>16</v>
      </c>
      <c r="I88" s="4" t="s">
        <v>406</v>
      </c>
      <c r="J88" s="4">
        <v>45.0</v>
      </c>
      <c r="K88" s="4" t="s">
        <v>22</v>
      </c>
      <c r="Y88" s="5" t="str">
        <f t="shared" si="1"/>
        <v>43, 45</v>
      </c>
      <c r="AA88" s="5">
        <f t="shared" si="2"/>
        <v>1</v>
      </c>
    </row>
    <row r="89">
      <c r="A89" s="4" t="s">
        <v>407</v>
      </c>
      <c r="B89" s="4" t="s">
        <v>408</v>
      </c>
      <c r="C89" s="4" t="s">
        <v>38</v>
      </c>
      <c r="D89" s="4">
        <v>3.0</v>
      </c>
      <c r="E89" s="4" t="s">
        <v>409</v>
      </c>
      <c r="F89" s="4" t="s">
        <v>18</v>
      </c>
      <c r="G89" s="4" t="s">
        <v>410</v>
      </c>
      <c r="H89" s="4" t="s">
        <v>16</v>
      </c>
      <c r="I89" s="4" t="s">
        <v>411</v>
      </c>
      <c r="J89" s="4">
        <v>75.0</v>
      </c>
      <c r="K89" s="4" t="s">
        <v>22</v>
      </c>
      <c r="Y89" s="5" t="str">
        <f t="shared" si="1"/>
        <v>82</v>
      </c>
      <c r="AA89" s="5">
        <f t="shared" si="2"/>
        <v>1</v>
      </c>
    </row>
    <row r="90">
      <c r="A90" s="4" t="s">
        <v>412</v>
      </c>
      <c r="B90" s="4" t="s">
        <v>413</v>
      </c>
      <c r="C90" s="4" t="s">
        <v>38</v>
      </c>
      <c r="D90" s="6">
        <v>46121.0</v>
      </c>
      <c r="E90" s="4" t="s">
        <v>265</v>
      </c>
      <c r="F90" s="4" t="s">
        <v>18</v>
      </c>
      <c r="G90" s="4" t="s">
        <v>414</v>
      </c>
      <c r="H90" s="4" t="s">
        <v>16</v>
      </c>
      <c r="I90" s="4" t="s">
        <v>415</v>
      </c>
      <c r="J90" s="4">
        <v>80.0</v>
      </c>
      <c r="K90" s="4" t="s">
        <v>21</v>
      </c>
      <c r="Y90" s="5" t="str">
        <f t="shared" si="1"/>
        <v>150, 152, 174</v>
      </c>
      <c r="AA90" s="5">
        <f t="shared" si="2"/>
        <v>0</v>
      </c>
    </row>
    <row r="91">
      <c r="A91" s="4" t="s">
        <v>416</v>
      </c>
      <c r="B91" s="4" t="s">
        <v>417</v>
      </c>
      <c r="C91" s="4" t="s">
        <v>38</v>
      </c>
      <c r="D91" s="4">
        <v>4.0</v>
      </c>
      <c r="E91" s="4" t="s">
        <v>418</v>
      </c>
      <c r="F91" s="4" t="s">
        <v>18</v>
      </c>
      <c r="G91" s="4" t="s">
        <v>419</v>
      </c>
      <c r="H91" s="4" t="s">
        <v>38</v>
      </c>
      <c r="I91" s="4" t="s">
        <v>420</v>
      </c>
      <c r="J91" s="4">
        <v>100.0</v>
      </c>
      <c r="K91" s="4" t="s">
        <v>21</v>
      </c>
      <c r="Y91" s="5" t="str">
        <f t="shared" si="1"/>
        <v>1, 4</v>
      </c>
      <c r="AA91" s="5">
        <f t="shared" si="2"/>
        <v>1</v>
      </c>
    </row>
    <row r="92">
      <c r="A92" s="4" t="s">
        <v>421</v>
      </c>
      <c r="B92" s="4" t="s">
        <v>422</v>
      </c>
      <c r="C92" s="4" t="s">
        <v>38</v>
      </c>
      <c r="D92" s="6">
        <v>46151.0</v>
      </c>
      <c r="E92" s="4" t="s">
        <v>423</v>
      </c>
      <c r="F92" s="4" t="s">
        <v>18</v>
      </c>
      <c r="G92" s="4" t="s">
        <v>424</v>
      </c>
      <c r="H92" s="4" t="s">
        <v>38</v>
      </c>
      <c r="I92" s="4" t="s">
        <v>425</v>
      </c>
      <c r="J92" s="4">
        <v>100.0</v>
      </c>
      <c r="K92" s="4" t="s">
        <v>21</v>
      </c>
      <c r="Y92" s="5" t="str">
        <f t="shared" si="1"/>
        <v>5, 9</v>
      </c>
      <c r="AA92" s="5">
        <f t="shared" si="2"/>
        <v>0</v>
      </c>
    </row>
    <row r="93">
      <c r="A93" s="4" t="s">
        <v>426</v>
      </c>
      <c r="B93" s="4" t="s">
        <v>427</v>
      </c>
      <c r="C93" s="4" t="s">
        <v>38</v>
      </c>
      <c r="D93" s="4">
        <v>6.0</v>
      </c>
      <c r="E93" s="4" t="s">
        <v>31</v>
      </c>
      <c r="F93" s="4" t="s">
        <v>18</v>
      </c>
      <c r="G93" s="4" t="s">
        <v>428</v>
      </c>
      <c r="H93" s="4" t="s">
        <v>16</v>
      </c>
      <c r="I93" s="4" t="s">
        <v>429</v>
      </c>
      <c r="J93" s="4">
        <v>80.0</v>
      </c>
      <c r="K93" s="4" t="s">
        <v>21</v>
      </c>
      <c r="Y93" s="5" t="str">
        <f t="shared" si="1"/>
        <v>117, 147</v>
      </c>
      <c r="AA93" s="5">
        <f t="shared" si="2"/>
        <v>1</v>
      </c>
    </row>
    <row r="94">
      <c r="A94" s="4" t="s">
        <v>430</v>
      </c>
      <c r="B94" s="4" t="s">
        <v>431</v>
      </c>
      <c r="C94" s="4" t="s">
        <v>38</v>
      </c>
      <c r="D94" s="6">
        <v>46182.0</v>
      </c>
      <c r="E94" s="4" t="s">
        <v>432</v>
      </c>
      <c r="F94" s="4" t="s">
        <v>88</v>
      </c>
      <c r="G94" s="4" t="s">
        <v>433</v>
      </c>
      <c r="H94" s="4" t="s">
        <v>16</v>
      </c>
      <c r="I94" s="4" t="s">
        <v>434</v>
      </c>
      <c r="J94" s="4">
        <v>65.0</v>
      </c>
      <c r="K94" s="4" t="s">
        <v>22</v>
      </c>
      <c r="Y94" s="5" t="str">
        <f t="shared" si="1"/>
        <v>74, 187</v>
      </c>
      <c r="AA94" s="5">
        <f t="shared" si="2"/>
        <v>0</v>
      </c>
    </row>
    <row r="95">
      <c r="A95" s="4" t="s">
        <v>435</v>
      </c>
      <c r="B95" s="4" t="s">
        <v>436</v>
      </c>
      <c r="C95" s="4" t="s">
        <v>38</v>
      </c>
      <c r="D95" s="6">
        <v>46212.0</v>
      </c>
      <c r="E95" s="4" t="s">
        <v>437</v>
      </c>
      <c r="F95" s="4" t="s">
        <v>18</v>
      </c>
      <c r="G95" s="4" t="s">
        <v>438</v>
      </c>
      <c r="H95" s="4" t="s">
        <v>16</v>
      </c>
      <c r="I95" s="4" t="s">
        <v>68</v>
      </c>
      <c r="J95" s="4">
        <v>75.0</v>
      </c>
      <c r="K95" s="4" t="s">
        <v>22</v>
      </c>
      <c r="Y95" s="5" t="str">
        <f t="shared" si="1"/>
        <v>134, 189</v>
      </c>
      <c r="AA95" s="5">
        <f t="shared" si="2"/>
        <v>0</v>
      </c>
    </row>
    <row r="96">
      <c r="A96" s="4" t="s">
        <v>439</v>
      </c>
      <c r="B96" s="4" t="s">
        <v>440</v>
      </c>
      <c r="C96" s="4" t="s">
        <v>38</v>
      </c>
      <c r="D96" s="7">
        <v>41099.0</v>
      </c>
      <c r="E96" s="4" t="s">
        <v>441</v>
      </c>
      <c r="F96" s="4" t="s">
        <v>88</v>
      </c>
      <c r="G96" s="4" t="s">
        <v>442</v>
      </c>
      <c r="H96" s="4" t="s">
        <v>16</v>
      </c>
      <c r="I96" s="4" t="s">
        <v>49</v>
      </c>
      <c r="J96" s="4">
        <v>85.0</v>
      </c>
      <c r="K96" s="4" t="s">
        <v>21</v>
      </c>
      <c r="Y96" s="5" t="str">
        <f t="shared" si="1"/>
        <v>192</v>
      </c>
      <c r="AA96" s="5">
        <f t="shared" si="2"/>
        <v>0</v>
      </c>
    </row>
    <row r="97">
      <c r="A97" s="4" t="s">
        <v>443</v>
      </c>
      <c r="B97" s="4" t="s">
        <v>444</v>
      </c>
      <c r="C97" s="4" t="s">
        <v>38</v>
      </c>
      <c r="D97" s="4">
        <v>14.0</v>
      </c>
      <c r="E97" s="4" t="s">
        <v>445</v>
      </c>
      <c r="F97" s="4" t="s">
        <v>18</v>
      </c>
      <c r="G97" s="4" t="s">
        <v>446</v>
      </c>
      <c r="H97" s="4" t="s">
        <v>38</v>
      </c>
      <c r="I97" s="4" t="s">
        <v>20</v>
      </c>
      <c r="J97" s="4">
        <v>100.0</v>
      </c>
      <c r="K97" s="4" t="s">
        <v>21</v>
      </c>
      <c r="Y97" s="5" t="str">
        <f t="shared" si="1"/>
        <v>14</v>
      </c>
      <c r="AA97" s="5">
        <f t="shared" si="2"/>
        <v>1</v>
      </c>
    </row>
    <row r="98">
      <c r="A98" s="4" t="s">
        <v>447</v>
      </c>
      <c r="B98" s="4" t="s">
        <v>448</v>
      </c>
      <c r="C98" s="4" t="s">
        <v>38</v>
      </c>
      <c r="D98" s="4">
        <v>13.0</v>
      </c>
      <c r="E98" s="4" t="s">
        <v>445</v>
      </c>
      <c r="F98" s="4" t="s">
        <v>18</v>
      </c>
      <c r="G98" s="4" t="s">
        <v>449</v>
      </c>
      <c r="H98" s="4" t="s">
        <v>38</v>
      </c>
      <c r="I98" s="4" t="s">
        <v>335</v>
      </c>
      <c r="J98" s="4">
        <v>100.0</v>
      </c>
      <c r="K98" s="4" t="s">
        <v>21</v>
      </c>
      <c r="Y98" s="5" t="str">
        <f t="shared" si="1"/>
        <v>13</v>
      </c>
      <c r="AA98" s="5">
        <f t="shared" si="2"/>
        <v>1</v>
      </c>
    </row>
    <row r="99">
      <c r="A99" s="4" t="s">
        <v>450</v>
      </c>
      <c r="B99" s="4" t="s">
        <v>451</v>
      </c>
      <c r="C99" s="4" t="s">
        <v>38</v>
      </c>
      <c r="D99" s="4">
        <v>15.0</v>
      </c>
      <c r="E99" s="4" t="s">
        <v>26</v>
      </c>
      <c r="F99" s="4" t="s">
        <v>18</v>
      </c>
      <c r="G99" s="4" t="s">
        <v>452</v>
      </c>
      <c r="H99" s="4" t="s">
        <v>38</v>
      </c>
      <c r="I99" s="4" t="s">
        <v>191</v>
      </c>
      <c r="J99" s="4">
        <v>100.0</v>
      </c>
      <c r="K99" s="4" t="s">
        <v>21</v>
      </c>
      <c r="Y99" s="5" t="str">
        <f t="shared" si="1"/>
        <v>15</v>
      </c>
      <c r="AA99" s="5">
        <f t="shared" si="2"/>
        <v>1</v>
      </c>
    </row>
    <row r="100">
      <c r="A100" s="4" t="s">
        <v>453</v>
      </c>
      <c r="B100" s="4" t="s">
        <v>454</v>
      </c>
      <c r="C100" s="4" t="s">
        <v>38</v>
      </c>
      <c r="D100" s="4">
        <v>15.0</v>
      </c>
      <c r="E100" s="4" t="s">
        <v>26</v>
      </c>
      <c r="F100" s="4" t="s">
        <v>88</v>
      </c>
      <c r="G100" s="4" t="s">
        <v>455</v>
      </c>
      <c r="H100" s="4" t="s">
        <v>38</v>
      </c>
      <c r="I100" s="4" t="s">
        <v>191</v>
      </c>
      <c r="J100" s="4">
        <v>100.0</v>
      </c>
      <c r="K100" s="4" t="s">
        <v>21</v>
      </c>
      <c r="Y100" s="5" t="str">
        <f t="shared" si="1"/>
        <v>15</v>
      </c>
      <c r="AA100" s="5">
        <f t="shared" si="2"/>
        <v>1</v>
      </c>
    </row>
    <row r="101">
      <c r="A101" s="4" t="s">
        <v>456</v>
      </c>
      <c r="B101" s="4" t="s">
        <v>457</v>
      </c>
      <c r="C101" s="4" t="s">
        <v>38</v>
      </c>
      <c r="D101" s="7">
        <v>40977.0</v>
      </c>
      <c r="E101" s="4" t="s">
        <v>458</v>
      </c>
      <c r="F101" s="4" t="s">
        <v>18</v>
      </c>
      <c r="G101" s="4" t="s">
        <v>459</v>
      </c>
      <c r="H101" s="4" t="s">
        <v>38</v>
      </c>
      <c r="I101" s="4" t="s">
        <v>460</v>
      </c>
      <c r="J101" s="4">
        <v>100.0</v>
      </c>
      <c r="K101" s="4" t="s">
        <v>21</v>
      </c>
      <c r="Y101" s="5" t="str">
        <f t="shared" si="1"/>
        <v>3, 9, 12</v>
      </c>
      <c r="AA101" s="5">
        <f t="shared" si="2"/>
        <v>0</v>
      </c>
    </row>
    <row r="102">
      <c r="Y102" s="5" t="str">
        <f t="shared" si="1"/>
        <v/>
      </c>
    </row>
    <row r="103">
      <c r="Y103" s="5" t="str">
        <f t="shared" si="1"/>
        <v/>
      </c>
    </row>
    <row r="104">
      <c r="Y104" s="5" t="str">
        <f t="shared" si="1"/>
        <v/>
      </c>
    </row>
    <row r="105">
      <c r="Y105" s="5" t="str">
        <f t="shared" si="1"/>
        <v/>
      </c>
    </row>
    <row r="106">
      <c r="Y106" s="5" t="str">
        <f t="shared" si="1"/>
        <v/>
      </c>
    </row>
    <row r="107">
      <c r="Y107" s="5" t="str">
        <f t="shared" si="1"/>
        <v/>
      </c>
    </row>
    <row r="108">
      <c r="Y108" s="5" t="str">
        <f t="shared" si="1"/>
        <v/>
      </c>
    </row>
    <row r="109">
      <c r="Y109" s="5" t="str">
        <f t="shared" si="1"/>
        <v/>
      </c>
    </row>
    <row r="110">
      <c r="Y110" s="5" t="str">
        <f t="shared" si="1"/>
        <v/>
      </c>
    </row>
  </sheetData>
  <drawing r:id="rId1"/>
</worksheet>
</file>